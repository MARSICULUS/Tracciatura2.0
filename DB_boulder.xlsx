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chi25-26" sheetId="1" r:id="rId5"/>
    <sheet state="visible" name="Over View" sheetId="2" r:id="rId6"/>
    <sheet state="visible" name="Blocchi24-25" sheetId="3" r:id="rId7"/>
  </sheets>
  <definedNames>
    <definedName hidden="1" localSheetId="2" name="Z_48FD242B_06D9_4730_ACB1_241563CC49C9_.wvu.FilterData">'Blocchi24-25'!$A$1:$L$501</definedName>
    <definedName hidden="1" localSheetId="2" name="Z_AA992EE7_C5D5_431D_AC3D_87E464E288A2_.wvu.FilterData">'Blocchi24-25'!$A$1:$L$501</definedName>
    <definedName hidden="1" localSheetId="2" name="Z_BF8BA9F1_0047_4844_BCB5_A34DC191F4E0_.wvu.FilterData">'Blocchi24-25'!$A$1:$L$501</definedName>
    <definedName hidden="1" localSheetId="2" name="Z_CE345912_A987_4F82_9CF8_455DBA1BD40E_.wvu.FilterData">'Blocchi24-25'!$A$1:$L$501</definedName>
  </definedNames>
  <calcPr/>
  <customWorkbookViews>
    <customWorkbookView activeSheetId="0" maximized="1" windowHeight="0" windowWidth="0" guid="{AA992EE7-C5D5-431D-AC3D-87E464E288A2}" name="Boulder On set"/>
    <customWorkbookView activeSheetId="0" maximized="1" windowHeight="0" windowWidth="0" guid="{48FD242B-06D9-4730-ACB1-241563CC49C9}" name="Zone"/>
    <customWorkbookView activeSheetId="0" maximized="1" windowHeight="0" windowWidth="0" guid="{CE345912-A987-4F82-9CF8-455DBA1BD40E}" name="Scadenze"/>
    <customWorkbookView activeSheetId="0" maximized="1" windowHeight="0" windowWidth="0" guid="{BF8BA9F1-0047-4844-BCB5-A34DC191F4E0}" name="Boulder Scaduti"/>
  </customWorkbookViews>
</workbook>
</file>

<file path=xl/sharedStrings.xml><?xml version="1.0" encoding="utf-8"?>
<sst xmlns="http://schemas.openxmlformats.org/spreadsheetml/2006/main" count="1763" uniqueCount="65">
  <si>
    <t>ID</t>
  </si>
  <si>
    <t>ON SET</t>
  </si>
  <si>
    <t>GRADO</t>
  </si>
  <si>
    <t>NUMERO TARGHETTA</t>
  </si>
  <si>
    <t>COLORE PRESE</t>
  </si>
  <si>
    <t>ZONA</t>
  </si>
  <si>
    <t>TRACCIATORE</t>
  </si>
  <si>
    <t>DATA</t>
  </si>
  <si>
    <t>DATA SCADENZA</t>
  </si>
  <si>
    <t>data smontato</t>
  </si>
  <si>
    <t>viti</t>
  </si>
  <si>
    <t>Verde</t>
  </si>
  <si>
    <t>Blu</t>
  </si>
  <si>
    <t>dx placca</t>
  </si>
  <si>
    <t>Andrea</t>
  </si>
  <si>
    <t>T25</t>
  </si>
  <si>
    <t>Smile</t>
  </si>
  <si>
    <t>Fede</t>
  </si>
  <si>
    <t>Giallo</t>
  </si>
  <si>
    <t>Viola</t>
  </si>
  <si>
    <t>dx verticale</t>
  </si>
  <si>
    <t>Bianco</t>
  </si>
  <si>
    <t>Grigio</t>
  </si>
  <si>
    <t>Rosso</t>
  </si>
  <si>
    <t>Leonardo M</t>
  </si>
  <si>
    <t>Nero</t>
  </si>
  <si>
    <t>dx prua</t>
  </si>
  <si>
    <t>Arancione</t>
  </si>
  <si>
    <t>verticale</t>
  </si>
  <si>
    <t>Menta</t>
  </si>
  <si>
    <t>sx big strapiombo</t>
  </si>
  <si>
    <t>Rosa</t>
  </si>
  <si>
    <t>sx legg. strapiombo</t>
  </si>
  <si>
    <t>New placca</t>
  </si>
  <si>
    <t>Muzi</t>
  </si>
  <si>
    <t>New verticale</t>
  </si>
  <si>
    <t>Dani</t>
  </si>
  <si>
    <t>Nathan</t>
  </si>
  <si>
    <t>New strapiombo</t>
  </si>
  <si>
    <t>Leo A</t>
  </si>
  <si>
    <t>Giulio</t>
  </si>
  <si>
    <t>T20</t>
  </si>
  <si>
    <t>Date di scadenza</t>
  </si>
  <si>
    <t>Totali boulder On set</t>
  </si>
  <si>
    <t>Obiettivo</t>
  </si>
  <si>
    <t>Grado</t>
  </si>
  <si>
    <t>Durata (giorni)</t>
  </si>
  <si>
    <t>Totale</t>
  </si>
  <si>
    <t>Blocchi in ...</t>
  </si>
  <si>
    <t>Old sala</t>
  </si>
  <si>
    <t>New Sala</t>
  </si>
  <si>
    <t>Numero targhetta</t>
  </si>
  <si>
    <t>Colore Prese</t>
  </si>
  <si>
    <t>Zona</t>
  </si>
  <si>
    <t>Tracciatore</t>
  </si>
  <si>
    <t>Data</t>
  </si>
  <si>
    <t>Data Scadenza</t>
  </si>
  <si>
    <t>One set</t>
  </si>
  <si>
    <t>Viti</t>
  </si>
  <si>
    <t>Quando off set</t>
  </si>
  <si>
    <t>Colonna filtro</t>
  </si>
  <si>
    <t>Azzurro</t>
  </si>
  <si>
    <t>Grige</t>
  </si>
  <si>
    <t xml:space="preserve">rosa </t>
  </si>
  <si>
    <t>grigie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</si>
</sst>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/>
    <font>
      <color theme="1"/>
      <name val="Arial"/>
    </font>
    <font>
      <b/>
      <color theme="1"/>
      <name val="Arial"/>
    </font>
    <font>
      <sz val="9.0"/>
      <color theme="1"/>
      <name val="Google Sans Mono"/>
    </font>
  </fonts>
  <fills count="1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E8EAED"/>
        <bgColor rgb="FFE8EAED"/>
      </patternFill>
    </fill>
    <fill>
      <patternFill patternType="solid">
        <fgColor rgb="FFF8F9FA"/>
        <bgColor rgb="FFF8F9FA"/>
      </patternFill>
    </fill>
    <fill>
      <patternFill patternType="solid">
        <fgColor rgb="FFFFE5A0"/>
        <bgColor rgb="FFFFE5A0"/>
      </patternFill>
    </fill>
    <fill>
      <patternFill patternType="solid">
        <fgColor rgb="FF0A53A8"/>
        <bgColor rgb="FF0A53A8"/>
      </patternFill>
    </fill>
    <fill>
      <patternFill patternType="solid">
        <fgColor rgb="FF11734B"/>
        <bgColor rgb="FF11734B"/>
      </patternFill>
    </fill>
    <fill>
      <patternFill patternType="solid">
        <fgColor rgb="FFB10202"/>
        <bgColor rgb="FFB10202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4" numFmtId="0" xfId="0" applyBorder="1" applyFont="1"/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horizontal="center"/>
    </xf>
    <xf borderId="4" fillId="3" fontId="1" numFmtId="0" xfId="0" applyAlignment="1" applyBorder="1" applyFill="1" applyFont="1">
      <alignment horizontal="center" readingOrder="0"/>
    </xf>
    <xf borderId="3" fillId="4" fontId="2" numFmtId="0" xfId="0" applyAlignment="1" applyBorder="1" applyFill="1" applyFont="1">
      <alignment horizontal="right" readingOrder="0"/>
    </xf>
    <xf borderId="3" fillId="5" fontId="2" numFmtId="0" xfId="0" applyAlignment="1" applyBorder="1" applyFill="1" applyFont="1">
      <alignment horizontal="center" readingOrder="0"/>
    </xf>
    <xf borderId="0" fillId="5" fontId="5" numFmtId="0" xfId="0" applyAlignment="1" applyFont="1">
      <alignment vertical="bottom"/>
    </xf>
    <xf borderId="3" fillId="5" fontId="2" numFmtId="0" xfId="0" applyAlignment="1" applyBorder="1" applyFont="1">
      <alignment horizontal="center" readingOrder="0"/>
    </xf>
    <xf borderId="3" fillId="6" fontId="2" numFmtId="0" xfId="0" applyAlignment="1" applyBorder="1" applyFill="1" applyFont="1">
      <alignment horizontal="right" readingOrder="0"/>
    </xf>
    <xf borderId="3" fillId="7" fontId="2" numFmtId="0" xfId="0" applyAlignment="1" applyBorder="1" applyFill="1" applyFont="1">
      <alignment horizontal="center" readingOrder="0"/>
    </xf>
    <xf borderId="0" fillId="7" fontId="5" numFmtId="0" xfId="0" applyAlignment="1" applyFont="1">
      <alignment vertical="bottom"/>
    </xf>
    <xf borderId="3" fillId="7" fontId="2" numFmtId="0" xfId="0" applyAlignment="1" applyBorder="1" applyFont="1">
      <alignment horizontal="center" readingOrder="0"/>
    </xf>
    <xf borderId="3" fillId="8" fontId="2" numFmtId="0" xfId="0" applyAlignment="1" applyBorder="1" applyFill="1" applyFont="1">
      <alignment horizontal="right" readingOrder="0"/>
    </xf>
    <xf borderId="3" fillId="9" fontId="3" numFmtId="0" xfId="0" applyAlignment="1" applyBorder="1" applyFill="1" applyFont="1">
      <alignment horizontal="right" readingOrder="0"/>
    </xf>
    <xf borderId="3" fillId="10" fontId="3" numFmtId="0" xfId="0" applyAlignment="1" applyBorder="1" applyFill="1" applyFont="1">
      <alignment horizontal="right" readingOrder="0"/>
    </xf>
    <xf borderId="3" fillId="11" fontId="3" numFmtId="0" xfId="0" applyAlignment="1" applyBorder="1" applyFill="1" applyFont="1">
      <alignment horizontal="right" readingOrder="0"/>
    </xf>
    <xf borderId="5" fillId="3" fontId="1" numFmtId="0" xfId="0" applyAlignment="1" applyBorder="1" applyFont="1">
      <alignment horizontal="center" readingOrder="0"/>
    </xf>
    <xf borderId="0" fillId="5" fontId="2" numFmtId="0" xfId="0" applyAlignment="1" applyFont="1">
      <alignment readingOrder="0"/>
    </xf>
    <xf borderId="0" fillId="5" fontId="2" numFmtId="0" xfId="0" applyFont="1"/>
    <xf borderId="1" fillId="12" fontId="2" numFmtId="0" xfId="0" applyAlignment="1" applyBorder="1" applyFill="1" applyFont="1">
      <alignment readingOrder="0"/>
    </xf>
    <xf borderId="2" fillId="7" fontId="4" numFmtId="0" xfId="0" applyBorder="1" applyFont="1"/>
    <xf borderId="0" fillId="7" fontId="2" numFmtId="0" xfId="0" applyFont="1"/>
    <xf borderId="3" fillId="12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3" fillId="13" fontId="2" numFmtId="0" xfId="0" applyBorder="1" applyFill="1" applyFont="1"/>
    <xf borderId="3" fillId="13" fontId="2" numFmtId="0" xfId="0" applyAlignment="1" applyBorder="1" applyFont="1">
      <alignment readingOrder="0"/>
    </xf>
    <xf borderId="0" fillId="7" fontId="5" numFmtId="0" xfId="0" applyAlignment="1" applyFont="1">
      <alignment horizontal="center" vertical="bottom"/>
    </xf>
    <xf borderId="0" fillId="7" fontId="5" numFmtId="0" xfId="0" applyAlignment="1" applyFont="1">
      <alignment horizontal="right" vertical="bottom"/>
    </xf>
    <xf borderId="0" fillId="7" fontId="6" numFmtId="0" xfId="0" applyAlignment="1" applyFont="1">
      <alignment horizontal="center" vertical="bottom"/>
    </xf>
    <xf borderId="0" fillId="5" fontId="2" numFmtId="0" xfId="0" applyAlignment="1" applyFont="1">
      <alignment horizontal="right" readingOrder="0"/>
    </xf>
    <xf borderId="0" fillId="5" fontId="2" numFmtId="0" xfId="0" applyAlignment="1" applyFont="1">
      <alignment horizontal="center" readingOrder="0"/>
    </xf>
    <xf borderId="0" fillId="5" fontId="5" numFmtId="0" xfId="0" applyAlignment="1" applyFont="1">
      <alignment horizontal="center" vertical="bottom"/>
    </xf>
    <xf borderId="0" fillId="5" fontId="5" numFmtId="0" xfId="0" applyAlignment="1" applyFont="1">
      <alignment horizontal="right" vertical="bottom"/>
    </xf>
    <xf borderId="0" fillId="5" fontId="6" numFmtId="0" xfId="0" applyAlignment="1" applyFont="1">
      <alignment horizontal="center" vertical="bottom"/>
    </xf>
    <xf borderId="0" fillId="7" fontId="2" numFmtId="0" xfId="0" applyAlignment="1" applyFont="1">
      <alignment horizontal="right" readingOrder="0"/>
    </xf>
    <xf borderId="0" fillId="7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12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Blocchi24-25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01" displayName="Boulder" name="Boulder" id="1">
  <tableColumns count="12">
    <tableColumn name="ID" id="1"/>
    <tableColumn name="Grado" id="2"/>
    <tableColumn name="Numero targhetta" id="3"/>
    <tableColumn name="Colore Prese" id="4"/>
    <tableColumn name="Zona" id="5"/>
    <tableColumn name="Tracciatore" id="6"/>
    <tableColumn name="Data" id="7"/>
    <tableColumn name="Data Scadenza" id="8"/>
    <tableColumn name="One set" id="9"/>
    <tableColumn name="Viti" id="10"/>
    <tableColumn name="Quando off set" id="11"/>
    <tableColumn name="Colonna filtro" id="12"/>
  </tableColumns>
  <tableStyleInfo name="Blocchi24-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2.0"/>
    <col customWidth="1" min="3" max="3" width="14.75"/>
    <col customWidth="1" min="4" max="4" width="10.88"/>
    <col customWidth="1" min="5" max="5" width="13.25"/>
    <col customWidth="1" min="6" max="6" width="20.5"/>
    <col customWidth="1" min="7" max="7" width="17.25"/>
    <col customWidth="1" min="8" max="8" width="12.75"/>
    <col customWidth="1" min="9" max="9" width="15.13"/>
    <col customWidth="1" min="10" max="10" width="13.25"/>
    <col customWidth="1" min="11" max="11" width="11.88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>
      <c r="A2" s="3">
        <v>1.0</v>
      </c>
      <c r="B2" s="3" t="b">
        <v>0</v>
      </c>
      <c r="C2" s="3" t="s">
        <v>11</v>
      </c>
      <c r="D2" s="3">
        <v>1.0</v>
      </c>
      <c r="E2" s="3" t="s">
        <v>12</v>
      </c>
      <c r="F2" s="3" t="s">
        <v>13</v>
      </c>
      <c r="G2" s="3" t="s">
        <v>14</v>
      </c>
      <c r="H2" s="4">
        <v>45908.64803186343</v>
      </c>
      <c r="I2" s="5">
        <f>IF(C2 = "Smile", H2 + 'Over View'!$B$3, IF(C2 = "Bianco" , H2 + 'Over View'!$B$4, IF(C2 = "Giallo" , H2 + 'Over View'!$B$5, IF(C2 = "Blu" , H2 + 'Over View'!$B$6, IF(C2 = "Verde" , H2 + 'Over View'!$B$7, IF(C2 = "Rosso" , H2 + 'Over View'!$B$8, "Grado Non Inserito") )))))</f>
        <v>45929.64803</v>
      </c>
      <c r="J2" s="4">
        <v>45938.45581371528</v>
      </c>
      <c r="K2" s="6" t="s">
        <v>15</v>
      </c>
      <c r="L2" s="2"/>
    </row>
    <row r="3">
      <c r="A3" s="3">
        <v>2.0</v>
      </c>
      <c r="B3" s="3" t="b">
        <v>0</v>
      </c>
      <c r="C3" s="3" t="s">
        <v>16</v>
      </c>
      <c r="D3" s="3">
        <v>1.0</v>
      </c>
      <c r="E3" s="3" t="s">
        <v>11</v>
      </c>
      <c r="F3" s="3" t="s">
        <v>13</v>
      </c>
      <c r="G3" s="3" t="s">
        <v>17</v>
      </c>
      <c r="H3" s="4">
        <v>45938.46632535879</v>
      </c>
      <c r="I3" s="5">
        <f>IF(C3 = "Smile", H3 + 'Over View'!$B$3, IF(C3 = "Bianco" , H3 + 'Over View'!$B$4, IF(C3 = "Giallo" , H3 + 'Over View'!$B$5, IF(C3 = "Blu" , H3 + 'Over View'!$B$6, IF(C3 = "Verde" , H3 + 'Over View'!$B$7, IF(C3 = "Rosso" , H3 + 'Over View'!$B$8, "Grado Non Inserito") )))))</f>
        <v>45952.46633</v>
      </c>
      <c r="J3" s="4">
        <v>45938.46732011574</v>
      </c>
      <c r="K3" s="6" t="s">
        <v>15</v>
      </c>
      <c r="L3" s="2"/>
    </row>
    <row r="4">
      <c r="A4" s="3">
        <v>3.0</v>
      </c>
      <c r="B4" s="3" t="b">
        <v>0</v>
      </c>
      <c r="C4" s="3" t="s">
        <v>12</v>
      </c>
      <c r="D4" s="3">
        <v>1.0</v>
      </c>
      <c r="E4" s="3" t="s">
        <v>18</v>
      </c>
      <c r="F4" s="3" t="s">
        <v>13</v>
      </c>
      <c r="G4" s="3" t="s">
        <v>14</v>
      </c>
      <c r="H4" s="4">
        <v>45908.649329988424</v>
      </c>
      <c r="I4" s="5">
        <f>IF(C4 = "Smile", H4 + 'Over View'!$B$3, IF(C4 = "Bianco" , H4 + 'Over View'!$B$4, IF(C4 = "Giallo" , H4 + 'Over View'!$B$5, IF(C4 = "Blu" , H4 + 'Over View'!$B$6, IF(C4 = "Verde" , H4 + 'Over View'!$B$7, IF(C4 = "Rosso" , H4 + 'Over View'!$B$8, "Grado Non Inserito") )))))</f>
        <v>45938.64933</v>
      </c>
      <c r="J4" s="4">
        <v>45960.671575659726</v>
      </c>
      <c r="K4" s="6" t="s">
        <v>15</v>
      </c>
      <c r="L4" s="2"/>
    </row>
    <row r="5">
      <c r="A5" s="3">
        <v>4.0</v>
      </c>
      <c r="B5" s="3" t="b">
        <v>0</v>
      </c>
      <c r="C5" s="3" t="s">
        <v>18</v>
      </c>
      <c r="D5" s="3">
        <v>1.0</v>
      </c>
      <c r="E5" s="3" t="s">
        <v>19</v>
      </c>
      <c r="F5" s="3" t="s">
        <v>13</v>
      </c>
      <c r="G5" s="3" t="s">
        <v>14</v>
      </c>
      <c r="H5" s="4">
        <v>45908.649752673606</v>
      </c>
      <c r="I5" s="5">
        <f>IF(C5 = "Smile", H5 + 'Over View'!$B$3, IF(C5 = "Bianco" , H5 + 'Over View'!$B$4, IF(C5 = "Giallo" , H5 + 'Over View'!$B$5, IF(C5 = "Blu" , H5 + 'Over View'!$B$6, IF(C5 = "Verde" , H5 + 'Over View'!$B$7, IF(C5 = "Rosso" , H5 + 'Over View'!$B$8, "Grado Non Inserito") )))))</f>
        <v>45938.64975</v>
      </c>
      <c r="J5" s="4">
        <v>45966.667473761576</v>
      </c>
      <c r="K5" s="6" t="s">
        <v>15</v>
      </c>
      <c r="L5" s="2"/>
    </row>
    <row r="6">
      <c r="A6" s="3">
        <v>5.0</v>
      </c>
      <c r="B6" s="3" t="b">
        <v>0</v>
      </c>
      <c r="C6" s="3" t="s">
        <v>16</v>
      </c>
      <c r="D6" s="3">
        <v>2.0</v>
      </c>
      <c r="E6" s="3" t="s">
        <v>11</v>
      </c>
      <c r="F6" s="3" t="s">
        <v>20</v>
      </c>
      <c r="G6" s="3" t="s">
        <v>17</v>
      </c>
      <c r="H6" s="4">
        <v>45908.650403437496</v>
      </c>
      <c r="I6" s="5">
        <f>IF(C6 = "Smile", H6 + 'Over View'!$B$3, IF(C6 = "Bianco" , H6 + 'Over View'!$B$4, IF(C6 = "Giallo" , H6 + 'Over View'!$B$5, IF(C6 = "Blu" , H6 + 'Over View'!$B$6, IF(C6 = "Verde" , H6 + 'Over View'!$B$7, IF(C6 = "Rosso" , H6 + 'Over View'!$B$8, "Grado Non Inserito") )))))</f>
        <v>45922.6504</v>
      </c>
      <c r="J6" s="4">
        <v>45938.45593873842</v>
      </c>
      <c r="K6" s="6" t="s">
        <v>15</v>
      </c>
      <c r="L6" s="2"/>
    </row>
    <row r="7">
      <c r="A7" s="3">
        <v>6.0</v>
      </c>
      <c r="B7" s="3" t="b">
        <v>0</v>
      </c>
      <c r="C7" s="3" t="s">
        <v>18</v>
      </c>
      <c r="D7" s="3">
        <v>2.0</v>
      </c>
      <c r="E7" s="3" t="s">
        <v>12</v>
      </c>
      <c r="F7" s="3" t="s">
        <v>20</v>
      </c>
      <c r="G7" s="3" t="s">
        <v>14</v>
      </c>
      <c r="H7" s="4">
        <v>45908.651002893515</v>
      </c>
      <c r="I7" s="5">
        <f>IF(C7 = "Smile", H7 + 'Over View'!$B$3, IF(C7 = "Bianco" , H7 + 'Over View'!$B$4, IF(C7 = "Giallo" , H7 + 'Over View'!$B$5, IF(C7 = "Blu" , H7 + 'Over View'!$B$6, IF(C7 = "Verde" , H7 + 'Over View'!$B$7, IF(C7 = "Rosso" , H7 + 'Over View'!$B$8, "Grado Non Inserito") )))))</f>
        <v>45938.651</v>
      </c>
      <c r="J7" s="4">
        <v>45960.672412025466</v>
      </c>
      <c r="K7" s="6" t="s">
        <v>15</v>
      </c>
      <c r="L7" s="2"/>
    </row>
    <row r="8">
      <c r="A8" s="3">
        <v>7.0</v>
      </c>
      <c r="B8" s="3" t="b">
        <v>0</v>
      </c>
      <c r="C8" s="3" t="s">
        <v>21</v>
      </c>
      <c r="D8" s="3">
        <v>1.0</v>
      </c>
      <c r="E8" s="3" t="s">
        <v>22</v>
      </c>
      <c r="F8" s="3" t="s">
        <v>20</v>
      </c>
      <c r="G8" s="3" t="s">
        <v>17</v>
      </c>
      <c r="H8" s="4">
        <v>45908.65145765046</v>
      </c>
      <c r="I8" s="5">
        <f>IF(C8 = "Smile", H8 + 'Over View'!$B$3, IF(C8 = "Bianco" , H8 + 'Over View'!$B$4, IF(C8 = "Giallo" , H8 + 'Over View'!$B$5, IF(C8 = "Blu" , H8 + 'Over View'!$B$6, IF(C8 = "Verde" , H8 + 'Over View'!$B$7, IF(C8 = "Rosso" , H8 + 'Over View'!$B$8, "Grado Non Inserito") )))))</f>
        <v>45922.65146</v>
      </c>
      <c r="J8" s="4">
        <v>45938.45607644676</v>
      </c>
      <c r="K8" s="6" t="s">
        <v>15</v>
      </c>
      <c r="L8" s="2"/>
    </row>
    <row r="9">
      <c r="A9" s="3">
        <v>8.0</v>
      </c>
      <c r="B9" s="3" t="b">
        <v>0</v>
      </c>
      <c r="C9" s="3" t="s">
        <v>12</v>
      </c>
      <c r="D9" s="3">
        <v>2.0</v>
      </c>
      <c r="E9" s="3" t="s">
        <v>23</v>
      </c>
      <c r="F9" s="3" t="s">
        <v>20</v>
      </c>
      <c r="G9" s="3" t="s">
        <v>24</v>
      </c>
      <c r="H9" s="4">
        <v>45908.65207884259</v>
      </c>
      <c r="I9" s="5">
        <f>IF(C9 = "Smile", H9 + 'Over View'!$B$3, IF(C9 = "Bianco" , H9 + 'Over View'!$B$4, IF(C9 = "Giallo" , H9 + 'Over View'!$B$5, IF(C9 = "Blu" , H9 + 'Over View'!$B$6, IF(C9 = "Verde" , H9 + 'Over View'!$B$7, IF(C9 = "Rosso" , H9 + 'Over View'!$B$8, "Grado Non Inserito") )))))</f>
        <v>45938.65208</v>
      </c>
      <c r="J9" s="4">
        <v>45943.44085738426</v>
      </c>
      <c r="K9" s="6" t="s">
        <v>15</v>
      </c>
      <c r="L9" s="2"/>
    </row>
    <row r="10">
      <c r="A10" s="3">
        <v>9.0</v>
      </c>
      <c r="B10" s="3" t="b">
        <v>0</v>
      </c>
      <c r="C10" s="3" t="s">
        <v>16</v>
      </c>
      <c r="D10" s="3">
        <v>3.0</v>
      </c>
      <c r="E10" s="3" t="s">
        <v>25</v>
      </c>
      <c r="F10" s="3" t="s">
        <v>20</v>
      </c>
      <c r="G10" s="3" t="s">
        <v>24</v>
      </c>
      <c r="H10" s="4">
        <v>45908.65261923611</v>
      </c>
      <c r="I10" s="5">
        <f>IF(C10 = "Smile", H10 + 'Over View'!$B$3, IF(C10 = "Bianco" , H10 + 'Over View'!$B$4, IF(C10 = "Giallo" , H10 + 'Over View'!$B$5, IF(C10 = "Blu" , H10 + 'Over View'!$B$6, IF(C10 = "Verde" , H10 + 'Over View'!$B$7, IF(C10 = "Rosso" , H10 + 'Over View'!$B$8, "Grado Non Inserito") )))))</f>
        <v>45922.65262</v>
      </c>
      <c r="J10" s="4">
        <v>45980.50660869213</v>
      </c>
      <c r="K10" s="6" t="s">
        <v>15</v>
      </c>
      <c r="L10" s="2"/>
    </row>
    <row r="11">
      <c r="A11" s="3">
        <v>10.0</v>
      </c>
      <c r="B11" s="3" t="b">
        <v>0</v>
      </c>
      <c r="C11" s="3" t="s">
        <v>11</v>
      </c>
      <c r="D11" s="3">
        <v>2.0</v>
      </c>
      <c r="E11" s="3" t="s">
        <v>12</v>
      </c>
      <c r="F11" s="3" t="s">
        <v>26</v>
      </c>
      <c r="G11" s="3" t="s">
        <v>14</v>
      </c>
      <c r="H11" s="4">
        <v>45908.65312862268</v>
      </c>
      <c r="I11" s="5">
        <f>IF(C11 = "Smile", H11 + 'Over View'!$B$3, IF(C11 = "Bianco" , H11 + 'Over View'!$B$4, IF(C11 = "Giallo" , H11 + 'Over View'!$B$5, IF(C11 = "Blu" , H11 + 'Over View'!$B$6, IF(C11 = "Verde" , H11 + 'Over View'!$B$7, IF(C11 = "Rosso" , H11 + 'Over View'!$B$8, "Grado Non Inserito") )))))</f>
        <v>45929.65313</v>
      </c>
      <c r="J11" s="4">
        <v>45938.45584039352</v>
      </c>
      <c r="K11" s="6" t="s">
        <v>15</v>
      </c>
      <c r="L11" s="2"/>
    </row>
    <row r="12">
      <c r="A12" s="3">
        <v>11.0</v>
      </c>
      <c r="B12" s="3" t="b">
        <v>0</v>
      </c>
      <c r="C12" s="3" t="s">
        <v>21</v>
      </c>
      <c r="D12" s="3">
        <v>2.0</v>
      </c>
      <c r="E12" s="3" t="s">
        <v>19</v>
      </c>
      <c r="F12" s="3" t="s">
        <v>26</v>
      </c>
      <c r="G12" s="3" t="s">
        <v>24</v>
      </c>
      <c r="H12" s="4">
        <v>45908.65345409722</v>
      </c>
      <c r="I12" s="5">
        <f>IF(C12 = "Smile", H12 + 'Over View'!$B$3, IF(C12 = "Bianco" , H12 + 'Over View'!$B$4, IF(C12 = "Giallo" , H12 + 'Over View'!$B$5, IF(C12 = "Blu" , H12 + 'Over View'!$B$6, IF(C12 = "Verde" , H12 + 'Over View'!$B$7, IF(C12 = "Rosso" , H12 + 'Over View'!$B$8, "Grado Non Inserito") )))))</f>
        <v>45922.65345</v>
      </c>
      <c r="J12" s="4">
        <v>45980.50675030093</v>
      </c>
      <c r="K12" s="6" t="s">
        <v>15</v>
      </c>
      <c r="L12" s="2"/>
    </row>
    <row r="13">
      <c r="A13" s="3">
        <v>12.0</v>
      </c>
      <c r="B13" s="3" t="b">
        <v>0</v>
      </c>
      <c r="C13" s="3" t="s">
        <v>12</v>
      </c>
      <c r="D13" s="3">
        <v>3.0</v>
      </c>
      <c r="E13" s="3" t="s">
        <v>11</v>
      </c>
      <c r="F13" s="3" t="s">
        <v>26</v>
      </c>
      <c r="G13" s="3" t="s">
        <v>24</v>
      </c>
      <c r="H13" s="4">
        <v>45908.65395917824</v>
      </c>
      <c r="I13" s="5">
        <f>IF(C13 = "Smile", H13 + 'Over View'!$B$3, IF(C13 = "Bianco" , H13 + 'Over View'!$B$4, IF(C13 = "Giallo" , H13 + 'Over View'!$B$5, IF(C13 = "Blu" , H13 + 'Over View'!$B$6, IF(C13 = "Verde" , H13 + 'Over View'!$B$7, IF(C13 = "Rosso" , H13 + 'Over View'!$B$8, "Grado Non Inserito") )))))</f>
        <v>45938.65396</v>
      </c>
      <c r="J13" s="4">
        <v>45980.50691736111</v>
      </c>
      <c r="K13" s="6" t="s">
        <v>15</v>
      </c>
      <c r="L13" s="2"/>
    </row>
    <row r="14">
      <c r="A14" s="3">
        <v>13.0</v>
      </c>
      <c r="B14" s="3" t="b">
        <v>0</v>
      </c>
      <c r="C14" s="3" t="s">
        <v>16</v>
      </c>
      <c r="D14" s="3">
        <v>4.0</v>
      </c>
      <c r="E14" s="3" t="s">
        <v>27</v>
      </c>
      <c r="F14" s="3" t="s">
        <v>28</v>
      </c>
      <c r="G14" s="3" t="s">
        <v>17</v>
      </c>
      <c r="H14" s="4">
        <v>45908.65428270833</v>
      </c>
      <c r="I14" s="5">
        <f>IF(C14 = "Smile", H14 + 'Over View'!$B$3, IF(C14 = "Bianco" , H14 + 'Over View'!$B$4, IF(C14 = "Giallo" , H14 + 'Over View'!$B$5, IF(C14 = "Blu" , H14 + 'Over View'!$B$6, IF(C14 = "Verde" , H14 + 'Over View'!$B$7, IF(C14 = "Rosso" , H14 + 'Over View'!$B$8, "Grado Non Inserito") )))))</f>
        <v>45922.65428</v>
      </c>
      <c r="J14" s="4">
        <v>45950.518005439815</v>
      </c>
      <c r="K14" s="6" t="s">
        <v>15</v>
      </c>
      <c r="L14" s="2"/>
    </row>
    <row r="15">
      <c r="A15" s="3">
        <v>14.0</v>
      </c>
      <c r="B15" s="3" t="b">
        <v>0</v>
      </c>
      <c r="C15" s="3" t="s">
        <v>21</v>
      </c>
      <c r="D15" s="3">
        <v>3.0</v>
      </c>
      <c r="E15" s="3" t="s">
        <v>18</v>
      </c>
      <c r="F15" s="3" t="s">
        <v>28</v>
      </c>
      <c r="G15" s="3" t="s">
        <v>14</v>
      </c>
      <c r="H15" s="4">
        <v>45908.654801446755</v>
      </c>
      <c r="I15" s="5">
        <f>IF(C15 = "Smile", H15 + 'Over View'!$B$3, IF(C15 = "Bianco" , H15 + 'Over View'!$B$4, IF(C15 = "Giallo" , H15 + 'Over View'!$B$5, IF(C15 = "Blu" , H15 + 'Over View'!$B$6, IF(C15 = "Verde" , H15 + 'Over View'!$B$7, IF(C15 = "Rosso" , H15 + 'Over View'!$B$8, "Grado Non Inserito") )))))</f>
        <v>45922.6548</v>
      </c>
      <c r="J15" s="4">
        <v>45950.51805053241</v>
      </c>
      <c r="K15" s="6" t="s">
        <v>15</v>
      </c>
      <c r="L15" s="2"/>
    </row>
    <row r="16">
      <c r="A16" s="3">
        <v>15.0</v>
      </c>
      <c r="B16" s="3" t="b">
        <v>0</v>
      </c>
      <c r="C16" s="3" t="s">
        <v>16</v>
      </c>
      <c r="D16" s="3">
        <v>5.0</v>
      </c>
      <c r="E16" s="3" t="s">
        <v>12</v>
      </c>
      <c r="F16" s="3" t="s">
        <v>28</v>
      </c>
      <c r="G16" s="3" t="s">
        <v>17</v>
      </c>
      <c r="H16" s="4">
        <v>45908.65528719907</v>
      </c>
      <c r="I16" s="5">
        <f>IF(C16 = "Smile", H16 + 'Over View'!$B$3, IF(C16 = "Bianco" , H16 + 'Over View'!$B$4, IF(C16 = "Giallo" , H16 + 'Over View'!$B$5, IF(C16 = "Blu" , H16 + 'Over View'!$B$6, IF(C16 = "Verde" , H16 + 'Over View'!$B$7, IF(C16 = "Rosso" , H16 + 'Over View'!$B$8, "Grado Non Inserito") )))))</f>
        <v>45922.65529</v>
      </c>
      <c r="J16" s="4">
        <v>45980.506934212965</v>
      </c>
      <c r="K16" s="6" t="s">
        <v>15</v>
      </c>
      <c r="L16" s="2"/>
    </row>
    <row r="17">
      <c r="A17" s="3">
        <v>16.0</v>
      </c>
      <c r="B17" s="3" t="b">
        <v>0</v>
      </c>
      <c r="C17" s="3" t="s">
        <v>18</v>
      </c>
      <c r="D17" s="3">
        <v>4.0</v>
      </c>
      <c r="E17" s="3" t="s">
        <v>23</v>
      </c>
      <c r="F17" s="3" t="s">
        <v>28</v>
      </c>
      <c r="G17" s="3" t="s">
        <v>24</v>
      </c>
      <c r="H17" s="4">
        <v>45908.65567460648</v>
      </c>
      <c r="I17" s="5">
        <f>IF(C17 = "Smile", H17 + 'Over View'!$B$3, IF(C17 = "Bianco" , H17 + 'Over View'!$B$4, IF(C17 = "Giallo" , H17 + 'Over View'!$B$5, IF(C17 = "Blu" , H17 + 'Over View'!$B$6, IF(C17 = "Verde" , H17 + 'Over View'!$B$7, IF(C17 = "Rosso" , H17 + 'Over View'!$B$8, "Grado Non Inserito") )))))</f>
        <v>45938.65567</v>
      </c>
      <c r="J17" s="4">
        <v>45960.67255391204</v>
      </c>
      <c r="K17" s="6" t="s">
        <v>15</v>
      </c>
      <c r="L17" s="2"/>
    </row>
    <row r="18">
      <c r="A18" s="3">
        <v>17.0</v>
      </c>
      <c r="B18" s="3" t="b">
        <v>0</v>
      </c>
      <c r="C18" s="3" t="s">
        <v>11</v>
      </c>
      <c r="D18" s="3">
        <v>3.0</v>
      </c>
      <c r="E18" s="3" t="s">
        <v>19</v>
      </c>
      <c r="F18" s="3" t="s">
        <v>28</v>
      </c>
      <c r="G18" s="3" t="s">
        <v>24</v>
      </c>
      <c r="H18" s="4">
        <v>45908.65610118056</v>
      </c>
      <c r="I18" s="5">
        <f>IF(C18 = "Smile", H18 + 'Over View'!$B$3, IF(C18 = "Bianco" , H18 + 'Over View'!$B$4, IF(C18 = "Giallo" , H18 + 'Over View'!$B$5, IF(C18 = "Blu" , H18 + 'Over View'!$B$6, IF(C18 = "Verde" , H18 + 'Over View'!$B$7, IF(C18 = "Rosso" , H18 + 'Over View'!$B$8, "Grado Non Inserito") )))))</f>
        <v>45929.6561</v>
      </c>
      <c r="J18" s="4">
        <v>45946.66825503472</v>
      </c>
      <c r="K18" s="6" t="s">
        <v>15</v>
      </c>
      <c r="L18" s="2"/>
    </row>
    <row r="19">
      <c r="A19" s="3">
        <v>18.0</v>
      </c>
      <c r="B19" s="3" t="b">
        <v>0</v>
      </c>
      <c r="C19" s="3" t="s">
        <v>12</v>
      </c>
      <c r="D19" s="3">
        <v>4.0</v>
      </c>
      <c r="E19" s="3" t="s">
        <v>29</v>
      </c>
      <c r="F19" s="3" t="s">
        <v>30</v>
      </c>
      <c r="G19" s="3" t="s">
        <v>24</v>
      </c>
      <c r="H19" s="4">
        <v>45908.65652616898</v>
      </c>
      <c r="I19" s="5">
        <f>IF(C19 = "Smile", H19 + 'Over View'!$B$3, IF(C19 = "Bianco" , H19 + 'Over View'!$B$4, IF(C19 = "Giallo" , H19 + 'Over View'!$B$5, IF(C19 = "Blu" , H19 + 'Over View'!$B$6, IF(C19 = "Verde" , H19 + 'Over View'!$B$7, IF(C19 = "Rosso" , H19 + 'Over View'!$B$8, "Grado Non Inserito") )))))</f>
        <v>45938.65653</v>
      </c>
      <c r="J19" s="4">
        <v>45966.66875237269</v>
      </c>
      <c r="K19" s="6" t="s">
        <v>15</v>
      </c>
      <c r="L19" s="2"/>
    </row>
    <row r="20">
      <c r="A20" s="3">
        <v>19.0</v>
      </c>
      <c r="B20" s="3" t="b">
        <v>0</v>
      </c>
      <c r="C20" s="3" t="s">
        <v>23</v>
      </c>
      <c r="D20" s="3">
        <v>1.0</v>
      </c>
      <c r="E20" s="3" t="s">
        <v>31</v>
      </c>
      <c r="F20" s="3" t="s">
        <v>30</v>
      </c>
      <c r="G20" s="3" t="s">
        <v>24</v>
      </c>
      <c r="H20" s="4">
        <v>45908.657098634256</v>
      </c>
      <c r="I20" s="5">
        <f>IF(C20 = "Smile", H20 + 'Over View'!$B$3, IF(C20 = "Bianco" , H20 + 'Over View'!$B$4, IF(C20 = "Giallo" , H20 + 'Over View'!$B$5, IF(C20 = "Blu" , H20 + 'Over View'!$B$6, IF(C20 = "Verde" , H20 + 'Over View'!$B$7, IF(C20 = "Rosso" , H20 + 'Over View'!$B$8, "Grado Non Inserito") )))))</f>
        <v>45929.6571</v>
      </c>
      <c r="J20" s="4">
        <v>45994.61597905093</v>
      </c>
      <c r="K20" s="6" t="s">
        <v>15</v>
      </c>
      <c r="L20" s="2"/>
    </row>
    <row r="21">
      <c r="A21" s="3">
        <v>20.0</v>
      </c>
      <c r="B21" s="3" t="b">
        <v>0</v>
      </c>
      <c r="C21" s="3" t="s">
        <v>12</v>
      </c>
      <c r="D21" s="3">
        <v>5.0</v>
      </c>
      <c r="E21" s="3" t="s">
        <v>18</v>
      </c>
      <c r="F21" s="3" t="s">
        <v>30</v>
      </c>
      <c r="G21" s="3" t="s">
        <v>24</v>
      </c>
      <c r="H21" s="4">
        <v>45908.65750621528</v>
      </c>
      <c r="I21" s="5">
        <f>IF(C21 = "Smile", H21 + 'Over View'!$B$3, IF(C21 = "Bianco" , H21 + 'Over View'!$B$4, IF(C21 = "Giallo" , H21 + 'Over View'!$B$5, IF(C21 = "Blu" , H21 + 'Over View'!$B$6, IF(C21 = "Verde" , H21 + 'Over View'!$B$7, IF(C21 = "Rosso" , H21 + 'Over View'!$B$8, "Grado Non Inserito") )))))</f>
        <v>45938.65751</v>
      </c>
      <c r="J21" s="4">
        <v>46001.45944953704</v>
      </c>
      <c r="K21" s="6" t="s">
        <v>15</v>
      </c>
      <c r="L21" s="2"/>
    </row>
    <row r="22">
      <c r="A22" s="3">
        <v>21.0</v>
      </c>
      <c r="B22" s="3" t="b">
        <v>0</v>
      </c>
      <c r="C22" s="3" t="s">
        <v>18</v>
      </c>
      <c r="D22" s="3">
        <v>5.0</v>
      </c>
      <c r="E22" s="3" t="s">
        <v>31</v>
      </c>
      <c r="F22" s="3" t="s">
        <v>30</v>
      </c>
      <c r="G22" s="3" t="s">
        <v>14</v>
      </c>
      <c r="H22" s="4">
        <v>45908.658048287034</v>
      </c>
      <c r="I22" s="5">
        <f>IF(C22 = "Smile", H22 + 'Over View'!$B$3, IF(C22 = "Bianco" , H22 + 'Over View'!$B$4, IF(C22 = "Giallo" , H22 + 'Over View'!$B$5, IF(C22 = "Blu" , H22 + 'Over View'!$B$6, IF(C22 = "Verde" , H22 + 'Over View'!$B$7, IF(C22 = "Rosso" , H22 + 'Over View'!$B$8, "Grado Non Inserito") )))))</f>
        <v>45938.65805</v>
      </c>
      <c r="J22" s="4">
        <v>45994.61588244213</v>
      </c>
      <c r="K22" s="6" t="s">
        <v>15</v>
      </c>
      <c r="L22" s="2"/>
    </row>
    <row r="23">
      <c r="A23" s="3">
        <v>22.0</v>
      </c>
      <c r="B23" s="3" t="b">
        <v>0</v>
      </c>
      <c r="C23" s="3" t="s">
        <v>21</v>
      </c>
      <c r="D23" s="3">
        <v>4.0</v>
      </c>
      <c r="E23" s="3" t="s">
        <v>11</v>
      </c>
      <c r="F23" s="3" t="s">
        <v>30</v>
      </c>
      <c r="G23" s="3" t="s">
        <v>24</v>
      </c>
      <c r="H23" s="4">
        <v>45908.65863476852</v>
      </c>
      <c r="I23" s="5">
        <f>IF(C23 = "Smile", H23 + 'Over View'!$B$3, IF(C23 = "Bianco" , H23 + 'Over View'!$B$4, IF(C23 = "Giallo" , H23 + 'Over View'!$B$5, IF(C23 = "Blu" , H23 + 'Over View'!$B$6, IF(C23 = "Verde" , H23 + 'Over View'!$B$7, IF(C23 = "Rosso" , H23 + 'Over View'!$B$8, "Grado Non Inserito") )))))</f>
        <v>45922.65863</v>
      </c>
      <c r="J23" s="4">
        <v>46031.399695671294</v>
      </c>
      <c r="K23" s="6" t="s">
        <v>15</v>
      </c>
      <c r="L23" s="2"/>
    </row>
    <row r="24">
      <c r="A24" s="3">
        <v>23.0</v>
      </c>
      <c r="B24" s="3" t="b">
        <v>0</v>
      </c>
      <c r="C24" s="3" t="s">
        <v>18</v>
      </c>
      <c r="D24" s="3">
        <v>6.0</v>
      </c>
      <c r="E24" s="3" t="s">
        <v>12</v>
      </c>
      <c r="F24" s="3" t="s">
        <v>32</v>
      </c>
      <c r="G24" s="3" t="s">
        <v>14</v>
      </c>
      <c r="H24" s="4">
        <v>45908.65905234954</v>
      </c>
      <c r="I24" s="5">
        <f>IF(C24 = "Smile", H24 + 'Over View'!$B$3, IF(C24 = "Bianco" , H24 + 'Over View'!$B$4, IF(C24 = "Giallo" , H24 + 'Over View'!$B$5, IF(C24 = "Blu" , H24 + 'Over View'!$B$6, IF(C24 = "Verde" , H24 + 'Over View'!$B$7, IF(C24 = "Rosso" , H24 + 'Over View'!$B$8, "Grado Non Inserito") )))))</f>
        <v>45938.65905</v>
      </c>
      <c r="J24" s="4">
        <v>45944.52247002315</v>
      </c>
      <c r="K24" s="6" t="s">
        <v>15</v>
      </c>
      <c r="L24" s="2"/>
    </row>
    <row r="25">
      <c r="A25" s="3">
        <v>24.0</v>
      </c>
      <c r="B25" s="3" t="b">
        <v>0</v>
      </c>
      <c r="C25" s="3" t="s">
        <v>21</v>
      </c>
      <c r="D25" s="3">
        <v>5.0</v>
      </c>
      <c r="E25" s="3" t="s">
        <v>23</v>
      </c>
      <c r="F25" s="3" t="s">
        <v>32</v>
      </c>
      <c r="G25" s="3" t="s">
        <v>17</v>
      </c>
      <c r="H25" s="4">
        <v>45908.65952855324</v>
      </c>
      <c r="I25" s="5">
        <f>IF(C25 = "Smile", H25 + 'Over View'!$B$3, IF(C25 = "Bianco" , H25 + 'Over View'!$B$4, IF(C25 = "Giallo" , H25 + 'Over View'!$B$5, IF(C25 = "Blu" , H25 + 'Over View'!$B$6, IF(C25 = "Verde" , H25 + 'Over View'!$B$7, IF(C25 = "Rosso" , H25 + 'Over View'!$B$8, "Grado Non Inserito") )))))</f>
        <v>45922.65953</v>
      </c>
      <c r="J25" s="4">
        <v>45944.52277402778</v>
      </c>
      <c r="K25" s="6" t="s">
        <v>15</v>
      </c>
      <c r="L25" s="2"/>
    </row>
    <row r="26">
      <c r="A26" s="3">
        <v>25.0</v>
      </c>
      <c r="B26" s="3" t="b">
        <v>0</v>
      </c>
      <c r="C26" s="3" t="s">
        <v>12</v>
      </c>
      <c r="D26" s="3">
        <v>6.0</v>
      </c>
      <c r="E26" s="3" t="s">
        <v>11</v>
      </c>
      <c r="F26" s="3" t="s">
        <v>32</v>
      </c>
      <c r="G26" s="3" t="s">
        <v>14</v>
      </c>
      <c r="H26" s="4">
        <v>45908.659907696754</v>
      </c>
      <c r="I26" s="5">
        <f>IF(C26 = "Smile", H26 + 'Over View'!$B$3, IF(C26 = "Bianco" , H26 + 'Over View'!$B$4, IF(C26 = "Giallo" , H26 + 'Over View'!$B$5, IF(C26 = "Blu" , H26 + 'Over View'!$B$6, IF(C26 = "Verde" , H26 + 'Over View'!$B$7, IF(C26 = "Rosso" , H26 + 'Over View'!$B$8, "Grado Non Inserito") )))))</f>
        <v>45938.65991</v>
      </c>
      <c r="J26" s="4">
        <v>45946.66842371528</v>
      </c>
      <c r="K26" s="6" t="s">
        <v>15</v>
      </c>
      <c r="L26" s="2"/>
    </row>
    <row r="27">
      <c r="A27" s="3">
        <v>26.0</v>
      </c>
      <c r="B27" s="3" t="b">
        <v>0</v>
      </c>
      <c r="C27" s="3" t="s">
        <v>18</v>
      </c>
      <c r="D27" s="3">
        <v>7.0</v>
      </c>
      <c r="E27" s="3" t="s">
        <v>22</v>
      </c>
      <c r="F27" s="3" t="s">
        <v>32</v>
      </c>
      <c r="G27" s="3" t="s">
        <v>17</v>
      </c>
      <c r="H27" s="4">
        <v>45908.660298449075</v>
      </c>
      <c r="I27" s="5">
        <f>IF(C27 = "Smile", H27 + 'Over View'!$B$3, IF(C27 = "Bianco" , H27 + 'Over View'!$B$4, IF(C27 = "Giallo" , H27 + 'Over View'!$B$5, IF(C27 = "Blu" , H27 + 'Over View'!$B$6, IF(C27 = "Verde" , H27 + 'Over View'!$B$7, IF(C27 = "Rosso" , H27 + 'Over View'!$B$8, "Grado Non Inserito") )))))</f>
        <v>45938.6603</v>
      </c>
      <c r="J27" s="4">
        <v>45944.522183043984</v>
      </c>
      <c r="K27" s="6" t="s">
        <v>15</v>
      </c>
      <c r="L27" s="2"/>
    </row>
    <row r="28">
      <c r="A28" s="3">
        <v>27.0</v>
      </c>
      <c r="B28" s="3" t="b">
        <v>0</v>
      </c>
      <c r="C28" s="3" t="s">
        <v>16</v>
      </c>
      <c r="D28" s="3">
        <v>6.0</v>
      </c>
      <c r="E28" s="3" t="s">
        <v>19</v>
      </c>
      <c r="F28" s="3" t="s">
        <v>32</v>
      </c>
      <c r="G28" s="3" t="s">
        <v>14</v>
      </c>
      <c r="H28" s="4">
        <v>45908.66070877315</v>
      </c>
      <c r="I28" s="5">
        <f>IF(C28 = "Smile", H28 + 'Over View'!$B$3, IF(C28 = "Bianco" , H28 + 'Over View'!$B$4, IF(C28 = "Giallo" , H28 + 'Over View'!$B$5, IF(C28 = "Blu" , H28 + 'Over View'!$B$6, IF(C28 = "Verde" , H28 + 'Over View'!$B$7, IF(C28 = "Rosso" , H28 + 'Over View'!$B$8, "Grado Non Inserito") )))))</f>
        <v>45922.66071</v>
      </c>
      <c r="J28" s="4">
        <v>45980.51002019676</v>
      </c>
      <c r="K28" s="6" t="s">
        <v>15</v>
      </c>
      <c r="L28" s="2"/>
    </row>
    <row r="29">
      <c r="A29" s="3">
        <v>28.0</v>
      </c>
      <c r="B29" s="3" t="b">
        <v>0</v>
      </c>
      <c r="C29" s="3" t="s">
        <v>21</v>
      </c>
      <c r="D29" s="3">
        <v>6.0</v>
      </c>
      <c r="E29" s="3" t="s">
        <v>12</v>
      </c>
      <c r="F29" s="3" t="s">
        <v>32</v>
      </c>
      <c r="G29" s="3" t="s">
        <v>24</v>
      </c>
      <c r="H29" s="4">
        <v>45908.66116679399</v>
      </c>
      <c r="I29" s="5">
        <f>IF(C29 = "Smile", H29 + 'Over View'!$B$3, IF(C29 = "Bianco" , H29 + 'Over View'!$B$4, IF(C29 = "Giallo" , H29 + 'Over View'!$B$5, IF(C29 = "Blu" , H29 + 'Over View'!$B$6, IF(C29 = "Verde" , H29 + 'Over View'!$B$7, IF(C29 = "Rosso" , H29 + 'Over View'!$B$8, "Grado Non Inserito") )))))</f>
        <v>45922.66117</v>
      </c>
      <c r="J29" s="4">
        <v>46001.46016953704</v>
      </c>
      <c r="K29" s="6" t="s">
        <v>15</v>
      </c>
      <c r="L29" s="2"/>
    </row>
    <row r="30">
      <c r="A30" s="3">
        <v>29.0</v>
      </c>
      <c r="B30" s="3" t="b">
        <v>0</v>
      </c>
      <c r="C30" s="3" t="s">
        <v>18</v>
      </c>
      <c r="D30" s="3">
        <v>8.0</v>
      </c>
      <c r="E30" s="3" t="s">
        <v>27</v>
      </c>
      <c r="F30" s="3" t="s">
        <v>32</v>
      </c>
      <c r="G30" s="3" t="s">
        <v>24</v>
      </c>
      <c r="H30" s="4">
        <v>45908.66151539352</v>
      </c>
      <c r="I30" s="5">
        <f>IF(C30 = "Smile", H30 + 'Over View'!$B$3, IF(C30 = "Bianco" , H30 + 'Over View'!$B$4, IF(C30 = "Giallo" , H30 + 'Over View'!$B$5, IF(C30 = "Blu" , H30 + 'Over View'!$B$6, IF(C30 = "Verde" , H30 + 'Over View'!$B$7, IF(C30 = "Rosso" , H30 + 'Over View'!$B$8, "Grado Non Inserito") )))))</f>
        <v>45938.66152</v>
      </c>
      <c r="J30" s="4">
        <v>45944.522006099534</v>
      </c>
      <c r="K30" s="6" t="s">
        <v>15</v>
      </c>
      <c r="L30" s="2"/>
    </row>
    <row r="31">
      <c r="A31" s="3">
        <v>30.0</v>
      </c>
      <c r="B31" s="3" t="b">
        <v>0</v>
      </c>
      <c r="C31" s="3" t="s">
        <v>16</v>
      </c>
      <c r="D31" s="3">
        <v>7.0</v>
      </c>
      <c r="E31" s="3" t="s">
        <v>23</v>
      </c>
      <c r="F31" s="3" t="s">
        <v>33</v>
      </c>
      <c r="G31" s="3" t="s">
        <v>14</v>
      </c>
      <c r="H31" s="4">
        <v>45908.66212543982</v>
      </c>
      <c r="I31" s="5">
        <f>IF(C31 = "Smile", H31 + 'Over View'!$B$3, IF(C31 = "Bianco" , H31 + 'Over View'!$B$4, IF(C31 = "Giallo" , H31 + 'Over View'!$B$5, IF(C31 = "Blu" , H31 + 'Over View'!$B$6, IF(C31 = "Verde" , H31 + 'Over View'!$B$7, IF(C31 = "Rosso" , H31 + 'Over View'!$B$8, "Grado Non Inserito") )))))</f>
        <v>45922.66213</v>
      </c>
      <c r="J31" s="4">
        <v>45944.52335320602</v>
      </c>
      <c r="K31" s="6" t="s">
        <v>15</v>
      </c>
      <c r="L31" s="2"/>
    </row>
    <row r="32">
      <c r="A32" s="3">
        <v>31.0</v>
      </c>
      <c r="B32" s="3" t="b">
        <v>0</v>
      </c>
      <c r="C32" s="3" t="s">
        <v>18</v>
      </c>
      <c r="D32" s="3">
        <v>9.0</v>
      </c>
      <c r="E32" s="3" t="s">
        <v>31</v>
      </c>
      <c r="F32" s="3" t="s">
        <v>33</v>
      </c>
      <c r="G32" s="3" t="s">
        <v>34</v>
      </c>
      <c r="H32" s="4">
        <v>45908.66486667824</v>
      </c>
      <c r="I32" s="5">
        <f>IF(C32 = "Smile", H32 + 'Over View'!$B$3, IF(C32 = "Bianco" , H32 + 'Over View'!$B$4, IF(C32 = "Giallo" , H32 + 'Over View'!$B$5, IF(C32 = "Blu" , H32 + 'Over View'!$B$6, IF(C32 = "Verde" , H32 + 'Over View'!$B$7, IF(C32 = "Rosso" , H32 + 'Over View'!$B$8, "Grado Non Inserito") )))))</f>
        <v>45938.66487</v>
      </c>
      <c r="J32" s="4">
        <v>45952.44244114583</v>
      </c>
      <c r="K32" s="6" t="s">
        <v>15</v>
      </c>
      <c r="L32" s="2"/>
    </row>
    <row r="33">
      <c r="A33" s="3">
        <v>32.0</v>
      </c>
      <c r="B33" s="3" t="b">
        <v>0</v>
      </c>
      <c r="C33" s="3" t="s">
        <v>11</v>
      </c>
      <c r="D33" s="3">
        <v>4.0</v>
      </c>
      <c r="E33" s="3" t="s">
        <v>18</v>
      </c>
      <c r="F33" s="3" t="s">
        <v>33</v>
      </c>
      <c r="G33" s="3" t="s">
        <v>14</v>
      </c>
      <c r="H33" s="4">
        <v>45908.66598424768</v>
      </c>
      <c r="I33" s="5">
        <f>IF(C33 = "Smile", H33 + 'Over View'!$B$3, IF(C33 = "Bianco" , H33 + 'Over View'!$B$4, IF(C33 = "Giallo" , H33 + 'Over View'!$B$5, IF(C33 = "Blu" , H33 + 'Over View'!$B$6, IF(C33 = "Verde" , H33 + 'Over View'!$B$7, IF(C33 = "Rosso" , H33 + 'Over View'!$B$8, "Grado Non Inserito") )))))</f>
        <v>45929.66598</v>
      </c>
      <c r="J33" s="4">
        <v>45966.67093070602</v>
      </c>
      <c r="K33" s="6" t="s">
        <v>15</v>
      </c>
      <c r="L33" s="2"/>
    </row>
    <row r="34">
      <c r="A34" s="3">
        <v>33.0</v>
      </c>
      <c r="B34" s="3" t="b">
        <v>0</v>
      </c>
      <c r="C34" s="3" t="s">
        <v>16</v>
      </c>
      <c r="D34" s="3">
        <v>8.0</v>
      </c>
      <c r="E34" s="3" t="s">
        <v>19</v>
      </c>
      <c r="F34" s="3" t="s">
        <v>33</v>
      </c>
      <c r="G34" s="3" t="s">
        <v>24</v>
      </c>
      <c r="H34" s="4">
        <v>45908.66670608796</v>
      </c>
      <c r="I34" s="5">
        <f>IF(C34 = "Smile", H34 + 'Over View'!$B$3, IF(C34 = "Bianco" , H34 + 'Over View'!$B$4, IF(C34 = "Giallo" , H34 + 'Over View'!$B$5, IF(C34 = "Blu" , H34 + 'Over View'!$B$6, IF(C34 = "Verde" , H34 + 'Over View'!$B$7, IF(C34 = "Rosso" , H34 + 'Over View'!$B$8, "Grado Non Inserito") )))))</f>
        <v>45922.66671</v>
      </c>
      <c r="J34" s="4">
        <v>45944.52361831018</v>
      </c>
      <c r="K34" s="6" t="s">
        <v>15</v>
      </c>
      <c r="L34" s="2"/>
    </row>
    <row r="35">
      <c r="A35" s="3">
        <v>34.0</v>
      </c>
      <c r="B35" s="3" t="b">
        <v>0</v>
      </c>
      <c r="C35" s="3" t="s">
        <v>12</v>
      </c>
      <c r="D35" s="3">
        <v>7.0</v>
      </c>
      <c r="E35" s="3" t="s">
        <v>12</v>
      </c>
      <c r="F35" s="3" t="s">
        <v>33</v>
      </c>
      <c r="G35" s="3" t="s">
        <v>14</v>
      </c>
      <c r="H35" s="4">
        <v>45908.66715424768</v>
      </c>
      <c r="I35" s="5">
        <f>IF(C35 = "Smile", H35 + 'Over View'!$B$3, IF(C35 = "Bianco" , H35 + 'Over View'!$B$4, IF(C35 = "Giallo" , H35 + 'Over View'!$B$5, IF(C35 = "Blu" , H35 + 'Over View'!$B$6, IF(C35 = "Verde" , H35 + 'Over View'!$B$7, IF(C35 = "Rosso" , H35 + 'Over View'!$B$8, "Grado Non Inserito") )))))</f>
        <v>45938.66715</v>
      </c>
      <c r="J35" s="4">
        <v>45994.61633438658</v>
      </c>
      <c r="K35" s="6" t="s">
        <v>15</v>
      </c>
      <c r="L35" s="2"/>
    </row>
    <row r="36">
      <c r="A36" s="3">
        <v>35.0</v>
      </c>
      <c r="B36" s="3" t="b">
        <v>0</v>
      </c>
      <c r="C36" s="3" t="s">
        <v>21</v>
      </c>
      <c r="D36" s="3">
        <v>7.0</v>
      </c>
      <c r="E36" s="3" t="s">
        <v>23</v>
      </c>
      <c r="F36" s="3" t="s">
        <v>35</v>
      </c>
      <c r="G36" s="3" t="s">
        <v>34</v>
      </c>
      <c r="H36" s="4">
        <v>45908.66758984954</v>
      </c>
      <c r="I36" s="5">
        <f>IF(C36 = "Smile", H36 + 'Over View'!$B$3, IF(C36 = "Bianco" , H36 + 'Over View'!$B$4, IF(C36 = "Giallo" , H36 + 'Over View'!$B$5, IF(C36 = "Blu" , H36 + 'Over View'!$B$6, IF(C36 = "Verde" , H36 + 'Over View'!$B$7, IF(C36 = "Rosso" , H36 + 'Over View'!$B$8, "Grado Non Inserito") )))))</f>
        <v>45922.66759</v>
      </c>
      <c r="J36" s="4">
        <v>45952.44258461805</v>
      </c>
      <c r="K36" s="6" t="s">
        <v>15</v>
      </c>
      <c r="L36" s="2"/>
    </row>
    <row r="37">
      <c r="A37" s="3">
        <v>36.0</v>
      </c>
      <c r="B37" s="3" t="b">
        <v>0</v>
      </c>
      <c r="C37" s="3" t="s">
        <v>18</v>
      </c>
      <c r="D37" s="3">
        <v>10.0</v>
      </c>
      <c r="E37" s="3" t="s">
        <v>11</v>
      </c>
      <c r="F37" s="3" t="s">
        <v>35</v>
      </c>
      <c r="G37" s="3" t="s">
        <v>36</v>
      </c>
      <c r="H37" s="4">
        <v>45912.0</v>
      </c>
      <c r="I37" s="5">
        <f>IF(C37 = "Smile", H37 + 'Over View'!$B$3, IF(C37 = "Bianco" , H37 + 'Over View'!$B$4, IF(C37 = "Giallo" , H37 + 'Over View'!$B$5, IF(C37 = "Blu" , H37 + 'Over View'!$B$6, IF(C37 = "Verde" , H37 + 'Over View'!$B$7, IF(C37 = "Rosso" , H37 + 'Over View'!$B$8, "Grado Non Inserito") )))))</f>
        <v>45942</v>
      </c>
      <c r="J37" s="4">
        <v>45994.616504143516</v>
      </c>
      <c r="K37" s="6" t="s">
        <v>15</v>
      </c>
      <c r="L37" s="2"/>
    </row>
    <row r="38">
      <c r="A38" s="3">
        <v>37.0</v>
      </c>
      <c r="B38" s="3" t="b">
        <v>0</v>
      </c>
      <c r="C38" s="3" t="s">
        <v>18</v>
      </c>
      <c r="D38" s="3">
        <v>11.0</v>
      </c>
      <c r="E38" s="3" t="s">
        <v>25</v>
      </c>
      <c r="F38" s="3" t="s">
        <v>35</v>
      </c>
      <c r="G38" s="3" t="s">
        <v>37</v>
      </c>
      <c r="H38" s="4">
        <v>45908.67000399306</v>
      </c>
      <c r="I38" s="5">
        <f>IF(C38 = "Smile", H38 + 'Over View'!$B$3, IF(C38 = "Bianco" , H38 + 'Over View'!$B$4, IF(C38 = "Giallo" , H38 + 'Over View'!$B$5, IF(C38 = "Blu" , H38 + 'Over View'!$B$6, IF(C38 = "Verde" , H38 + 'Over View'!$B$7, IF(C38 = "Rosso" , H38 + 'Over View'!$B$8, "Grado Non Inserito") )))))</f>
        <v>45938.67</v>
      </c>
      <c r="J38" s="4">
        <v>45944.52406261574</v>
      </c>
      <c r="K38" s="6" t="s">
        <v>15</v>
      </c>
      <c r="L38" s="2"/>
    </row>
    <row r="39">
      <c r="A39" s="3">
        <v>38.0</v>
      </c>
      <c r="B39" s="3" t="b">
        <v>0</v>
      </c>
      <c r="C39" s="3" t="s">
        <v>12</v>
      </c>
      <c r="D39" s="3">
        <v>9.0</v>
      </c>
      <c r="E39" s="3" t="s">
        <v>19</v>
      </c>
      <c r="F39" s="3" t="s">
        <v>35</v>
      </c>
      <c r="G39" s="3" t="s">
        <v>14</v>
      </c>
      <c r="H39" s="4">
        <v>45908.67071225695</v>
      </c>
      <c r="I39" s="5">
        <f>IF(C39 = "Smile", H39 + 'Over View'!$B$3, IF(C39 = "Bianco" , H39 + 'Over View'!$B$4, IF(C39 = "Giallo" , H39 + 'Over View'!$B$5, IF(C39 = "Blu" , H39 + 'Over View'!$B$6, IF(C39 = "Verde" , H39 + 'Over View'!$B$7, IF(C39 = "Rosso" , H39 + 'Over View'!$B$8, "Grado Non Inserito") )))))</f>
        <v>45938.67071</v>
      </c>
      <c r="J39" s="4">
        <v>45946.66722804398</v>
      </c>
      <c r="K39" s="6" t="s">
        <v>15</v>
      </c>
      <c r="L39" s="2"/>
    </row>
    <row r="40">
      <c r="A40" s="3">
        <v>39.0</v>
      </c>
      <c r="B40" s="3" t="b">
        <v>0</v>
      </c>
      <c r="C40" s="3" t="s">
        <v>23</v>
      </c>
      <c r="D40" s="3">
        <v>2.0</v>
      </c>
      <c r="E40" s="3" t="s">
        <v>18</v>
      </c>
      <c r="F40" s="3" t="s">
        <v>35</v>
      </c>
      <c r="G40" s="3" t="s">
        <v>34</v>
      </c>
      <c r="H40" s="4">
        <v>45908.671190243054</v>
      </c>
      <c r="I40" s="5">
        <f>IF(C40 = "Smile", H40 + 'Over View'!$B$3, IF(C40 = "Bianco" , H40 + 'Over View'!$B$4, IF(C40 = "Giallo" , H40 + 'Over View'!$B$5, IF(C40 = "Blu" , H40 + 'Over View'!$B$6, IF(C40 = "Verde" , H40 + 'Over View'!$B$7, IF(C40 = "Rosso" , H40 + 'Over View'!$B$8, "Grado Non Inserito") )))))</f>
        <v>45929.67119</v>
      </c>
      <c r="J40" s="4">
        <v>45960.67268195601</v>
      </c>
      <c r="K40" s="6" t="s">
        <v>15</v>
      </c>
      <c r="L40" s="2"/>
    </row>
    <row r="41">
      <c r="A41" s="3">
        <v>40.0</v>
      </c>
      <c r="B41" s="3" t="b">
        <v>0</v>
      </c>
      <c r="C41" s="3" t="s">
        <v>23</v>
      </c>
      <c r="D41" s="3">
        <v>3.0</v>
      </c>
      <c r="E41" s="3" t="s">
        <v>11</v>
      </c>
      <c r="F41" s="3" t="s">
        <v>38</v>
      </c>
      <c r="G41" s="3" t="s">
        <v>34</v>
      </c>
      <c r="H41" s="4">
        <v>45908.67209940973</v>
      </c>
      <c r="I41" s="5">
        <f>IF(C41 = "Smile", H41 + 'Over View'!$B$3, IF(C41 = "Bianco" , H41 + 'Over View'!$B$4, IF(C41 = "Giallo" , H41 + 'Over View'!$B$5, IF(C41 = "Blu" , H41 + 'Over View'!$B$6, IF(C41 = "Verde" , H41 + 'Over View'!$B$7, IF(C41 = "Rosso" , H41 + 'Over View'!$B$8, "Grado Non Inserito") )))))</f>
        <v>45929.6721</v>
      </c>
      <c r="J41" s="4">
        <v>45960.6726921875</v>
      </c>
      <c r="K41" s="6" t="s">
        <v>15</v>
      </c>
      <c r="L41" s="2"/>
    </row>
    <row r="42">
      <c r="A42" s="3">
        <v>41.0</v>
      </c>
      <c r="B42" s="3" t="b">
        <v>0</v>
      </c>
      <c r="C42" s="3" t="s">
        <v>12</v>
      </c>
      <c r="D42" s="3">
        <v>10.0</v>
      </c>
      <c r="E42" s="3" t="s">
        <v>23</v>
      </c>
      <c r="F42" s="3" t="s">
        <v>38</v>
      </c>
      <c r="G42" s="3" t="s">
        <v>34</v>
      </c>
      <c r="H42" s="4">
        <v>45908.6727575</v>
      </c>
      <c r="I42" s="5">
        <f>IF(C42 = "Smile", H42 + 'Over View'!$B$3, IF(C42 = "Bianco" , H42 + 'Over View'!$B$4, IF(C42 = "Giallo" , H42 + 'Over View'!$B$5, IF(C42 = "Blu" , H42 + 'Over View'!$B$6, IF(C42 = "Verde" , H42 + 'Over View'!$B$7, IF(C42 = "Rosso" , H42 + 'Over View'!$B$8, "Grado Non Inserito") )))))</f>
        <v>45938.67276</v>
      </c>
      <c r="J42" s="4">
        <v>45944.52493222222</v>
      </c>
      <c r="K42" s="6" t="s">
        <v>15</v>
      </c>
      <c r="L42" s="2"/>
    </row>
    <row r="43">
      <c r="A43" s="3">
        <v>42.0</v>
      </c>
      <c r="B43" s="3" t="b">
        <v>0</v>
      </c>
      <c r="C43" s="3" t="s">
        <v>11</v>
      </c>
      <c r="D43" s="3">
        <v>5.0</v>
      </c>
      <c r="E43" s="3" t="s">
        <v>18</v>
      </c>
      <c r="F43" s="3" t="s">
        <v>38</v>
      </c>
      <c r="G43" s="3" t="s">
        <v>37</v>
      </c>
      <c r="H43" s="4">
        <v>45908.67328333334</v>
      </c>
      <c r="I43" s="5">
        <f>IF(C43 = "Smile", H43 + 'Over View'!$B$3, IF(C43 = "Bianco" , H43 + 'Over View'!$B$4, IF(C43 = "Giallo" , H43 + 'Over View'!$B$5, IF(C43 = "Blu" , H43 + 'Over View'!$B$6, IF(C43 = "Verde" , H43 + 'Over View'!$B$7, IF(C43 = "Rosso" , H43 + 'Over View'!$B$8, "Grado Non Inserito") )))))</f>
        <v>45929.67328</v>
      </c>
      <c r="J43" s="4">
        <v>46001.45988898148</v>
      </c>
      <c r="K43" s="6" t="s">
        <v>15</v>
      </c>
      <c r="L43" s="2"/>
    </row>
    <row r="44">
      <c r="A44" s="3">
        <v>43.0</v>
      </c>
      <c r="B44" s="3" t="b">
        <v>0</v>
      </c>
      <c r="C44" s="3" t="s">
        <v>23</v>
      </c>
      <c r="D44" s="3">
        <v>4.0</v>
      </c>
      <c r="E44" s="3" t="s">
        <v>19</v>
      </c>
      <c r="F44" s="3" t="s">
        <v>38</v>
      </c>
      <c r="G44" s="3" t="s">
        <v>34</v>
      </c>
      <c r="H44" s="4">
        <v>45944.52522079861</v>
      </c>
      <c r="I44" s="5">
        <f>IF(C44 = "Smile", H44 + 'Over View'!$B$3, IF(C44 = "Bianco" , H44 + 'Over View'!$B$4, IF(C44 = "Giallo" , H44 + 'Over View'!$B$5, IF(C44 = "Blu" , H44 + 'Over View'!$B$6, IF(C44 = "Verde" , H44 + 'Over View'!$B$7, IF(C44 = "Rosso" , H44 + 'Over View'!$B$8, "Grado Non Inserito") )))))</f>
        <v>45965.52522</v>
      </c>
      <c r="J44" s="4">
        <v>45944.52526259259</v>
      </c>
      <c r="K44" s="6" t="s">
        <v>15</v>
      </c>
      <c r="L44" s="2"/>
    </row>
    <row r="45">
      <c r="A45" s="3">
        <v>44.0</v>
      </c>
      <c r="B45" s="3" t="b">
        <v>0</v>
      </c>
      <c r="C45" s="3" t="s">
        <v>21</v>
      </c>
      <c r="D45" s="3">
        <v>8.0</v>
      </c>
      <c r="E45" s="3" t="s">
        <v>11</v>
      </c>
      <c r="F45" s="3" t="s">
        <v>38</v>
      </c>
      <c r="G45" s="3" t="s">
        <v>24</v>
      </c>
      <c r="H45" s="4">
        <v>45944.52523665509</v>
      </c>
      <c r="I45" s="5">
        <f>IF(C45 = "Smile", H45 + 'Over View'!$B$3, IF(C45 = "Bianco" , H45 + 'Over View'!$B$4, IF(C45 = "Giallo" , H45 + 'Over View'!$B$5, IF(C45 = "Blu" , H45 + 'Over View'!$B$6, IF(C45 = "Verde" , H45 + 'Over View'!$B$7, IF(C45 = "Rosso" , H45 + 'Over View'!$B$8, "Grado Non Inserito") )))))</f>
        <v>45958.52524</v>
      </c>
      <c r="J45" s="4">
        <v>46001.460259722226</v>
      </c>
      <c r="K45" s="6" t="s">
        <v>15</v>
      </c>
      <c r="L45" s="2"/>
    </row>
    <row r="46">
      <c r="A46" s="3">
        <v>45.0</v>
      </c>
      <c r="B46" s="3" t="b">
        <v>0</v>
      </c>
      <c r="C46" s="3" t="s">
        <v>12</v>
      </c>
      <c r="D46" s="3">
        <v>8.0</v>
      </c>
      <c r="E46" s="3" t="s">
        <v>19</v>
      </c>
      <c r="F46" s="3" t="s">
        <v>35</v>
      </c>
      <c r="G46" s="3" t="s">
        <v>24</v>
      </c>
      <c r="H46" s="4">
        <v>45908.675540173615</v>
      </c>
      <c r="I46" s="5">
        <f>IF(C46 = "Smile", H46 + 'Over View'!$B$3, IF(C46 = "Bianco" , H46 + 'Over View'!$B$4, IF(C46 = "Giallo" , H46 + 'Over View'!$B$5, IF(C46 = "Blu" , H46 + 'Over View'!$B$6, IF(C46 = "Verde" , H46 + 'Over View'!$B$7, IF(C46 = "Rosso" , H46 + 'Over View'!$B$8, "Grado Non Inserito") )))))</f>
        <v>45938.67554</v>
      </c>
      <c r="J46" s="4">
        <v>45966.67160428241</v>
      </c>
      <c r="K46" s="6" t="s">
        <v>15</v>
      </c>
      <c r="L46" s="2"/>
    </row>
    <row r="47">
      <c r="A47" s="3">
        <v>46.0</v>
      </c>
      <c r="B47" s="3" t="b">
        <v>0</v>
      </c>
      <c r="C47" s="3" t="s">
        <v>18</v>
      </c>
      <c r="D47" s="3">
        <v>3.0</v>
      </c>
      <c r="E47" s="3" t="s">
        <v>18</v>
      </c>
      <c r="F47" s="3" t="s">
        <v>20</v>
      </c>
      <c r="G47" s="3" t="s">
        <v>24</v>
      </c>
      <c r="H47" s="4">
        <v>45908.67681898148</v>
      </c>
      <c r="I47" s="5">
        <f>IF(C47 = "Smile", H47 + 'Over View'!$B$3, IF(C47 = "Bianco" , H47 + 'Over View'!$B$4, IF(C47 = "Giallo" , H47 + 'Over View'!$B$5, IF(C47 = "Blu" , H47 + 'Over View'!$B$6, IF(C47 = "Verde" , H47 + 'Over View'!$B$7, IF(C47 = "Rosso" , H47 + 'Over View'!$B$8, "Grado Non Inserito") )))))</f>
        <v>45938.67682</v>
      </c>
      <c r="J47" s="4">
        <v>45966.671804259255</v>
      </c>
      <c r="K47" s="6" t="s">
        <v>15</v>
      </c>
      <c r="L47" s="2"/>
    </row>
    <row r="48">
      <c r="A48" s="3">
        <v>47.0</v>
      </c>
      <c r="B48" s="3" t="b">
        <v>0</v>
      </c>
      <c r="C48" s="3" t="s">
        <v>12</v>
      </c>
      <c r="D48" s="3">
        <v>11.0</v>
      </c>
      <c r="E48" s="3" t="s">
        <v>31</v>
      </c>
      <c r="F48" s="3" t="s">
        <v>32</v>
      </c>
      <c r="G48" s="3" t="s">
        <v>39</v>
      </c>
      <c r="H48" s="4">
        <v>45912.46432481481</v>
      </c>
      <c r="I48" s="5">
        <f>IF(C48 = "Smile", H48 + 'Over View'!$B$3, IF(C48 = "Bianco" , H48 + 'Over View'!$B$4, IF(C48 = "Giallo" , H48 + 'Over View'!$B$5, IF(C48 = "Blu" , H48 + 'Over View'!$B$6, IF(C48 = "Verde" , H48 + 'Over View'!$B$7, IF(C48 = "Rosso" , H48 + 'Over View'!$B$8, "Grado Non Inserito") )))))</f>
        <v>45942.46432</v>
      </c>
      <c r="J48" s="4">
        <v>46008.519352777774</v>
      </c>
      <c r="K48" s="7"/>
      <c r="L48" s="2"/>
    </row>
    <row r="49">
      <c r="A49" s="3">
        <v>48.0</v>
      </c>
      <c r="B49" s="3" t="b">
        <v>0</v>
      </c>
      <c r="C49" s="3" t="s">
        <v>16</v>
      </c>
      <c r="D49" s="3">
        <v>9.0</v>
      </c>
      <c r="E49" s="3" t="s">
        <v>12</v>
      </c>
      <c r="F49" s="3" t="s">
        <v>28</v>
      </c>
      <c r="G49" s="3" t="s">
        <v>39</v>
      </c>
      <c r="H49" s="4">
        <v>45912.46436146991</v>
      </c>
      <c r="I49" s="5">
        <f>IF(C49 = "Smile", H49 + 'Over View'!$B$3, IF(C49 = "Bianco" , H49 + 'Over View'!$B$4, IF(C49 = "Giallo" , H49 + 'Over View'!$B$5, IF(C49 = "Blu" , H49 + 'Over View'!$B$6, IF(C49 = "Verde" , H49 + 'Over View'!$B$7, IF(C49 = "Rosso" , H49 + 'Over View'!$B$8, "Grado Non Inserito") )))))</f>
        <v>45926.46436</v>
      </c>
      <c r="J49" s="4">
        <v>45980.509003576386</v>
      </c>
      <c r="K49" s="7"/>
      <c r="L49" s="2"/>
    </row>
    <row r="50">
      <c r="A50" s="3">
        <v>49.0</v>
      </c>
      <c r="B50" s="3" t="b">
        <v>0</v>
      </c>
      <c r="C50" s="3" t="s">
        <v>18</v>
      </c>
      <c r="D50" s="3">
        <v>15.0</v>
      </c>
      <c r="E50" s="3" t="s">
        <v>12</v>
      </c>
      <c r="F50" s="3" t="s">
        <v>38</v>
      </c>
      <c r="G50" s="3" t="s">
        <v>36</v>
      </c>
      <c r="H50" s="4">
        <v>45912.71160969908</v>
      </c>
      <c r="I50" s="5">
        <f>IF(C50 = "Smile", H50 + 'Over View'!$B$3, IF(C50 = "Bianco" , H50 + 'Over View'!$B$4, IF(C50 = "Giallo" , H50 + 'Over View'!$B$5, IF(C50 = "Blu" , H50 + 'Over View'!$B$6, IF(C50 = "Verde" , H50 + 'Over View'!$B$7, IF(C50 = "Rosso" , H50 + 'Over View'!$B$8, "Grado Non Inserito") )))))</f>
        <v>45942.71161</v>
      </c>
      <c r="J50" s="4">
        <v>46031.37434995371</v>
      </c>
      <c r="K50" s="6" t="s">
        <v>15</v>
      </c>
      <c r="L50" s="2"/>
    </row>
    <row r="51">
      <c r="A51" s="3">
        <v>50.0</v>
      </c>
      <c r="B51" s="3" t="b">
        <v>0</v>
      </c>
      <c r="C51" s="3" t="s">
        <v>16</v>
      </c>
      <c r="D51" s="2"/>
      <c r="E51" s="3" t="s">
        <v>12</v>
      </c>
      <c r="F51" s="3" t="s">
        <v>35</v>
      </c>
      <c r="G51" s="3" t="s">
        <v>36</v>
      </c>
      <c r="H51" s="4">
        <v>45912.71198431713</v>
      </c>
      <c r="I51" s="5">
        <f>IF(C51 = "Smile", H51 + 'Over View'!$B$3, IF(C51 = "Bianco" , H51 + 'Over View'!$B$4, IF(C51 = "Giallo" , H51 + 'Over View'!$B$5, IF(C51 = "Blu" , H51 + 'Over View'!$B$6, IF(C51 = "Verde" , H51 + 'Over View'!$B$7, IF(C51 = "Rosso" , H51 + 'Over View'!$B$8, "Grado Non Inserito") )))))</f>
        <v>45926.71198</v>
      </c>
      <c r="J51" s="4">
        <v>46031.37436443287</v>
      </c>
      <c r="K51" s="6" t="s">
        <v>15</v>
      </c>
      <c r="L51" s="2"/>
    </row>
    <row r="52">
      <c r="A52" s="3">
        <v>51.0</v>
      </c>
      <c r="B52" s="3" t="b">
        <v>0</v>
      </c>
      <c r="C52" s="3" t="s">
        <v>16</v>
      </c>
      <c r="D52" s="2"/>
      <c r="E52" s="3" t="s">
        <v>11</v>
      </c>
      <c r="F52" s="3" t="s">
        <v>32</v>
      </c>
      <c r="G52" s="3" t="s">
        <v>36</v>
      </c>
      <c r="H52" s="4">
        <v>45912.712231122685</v>
      </c>
      <c r="I52" s="5">
        <f>IF(C52 = "Smile", H52 + 'Over View'!$B$3, IF(C52 = "Bianco" , H52 + 'Over View'!$B$4, IF(C52 = "Giallo" , H52 + 'Over View'!$B$5, IF(C52 = "Blu" , H52 + 'Over View'!$B$6, IF(C52 = "Verde" , H52 + 'Over View'!$B$7, IF(C52 = "Rosso" , H52 + 'Over View'!$B$8, "Grado Non Inserito") )))))</f>
        <v>45926.71223</v>
      </c>
      <c r="J52" s="4">
        <v>45980.510196180556</v>
      </c>
      <c r="K52" s="6" t="s">
        <v>15</v>
      </c>
      <c r="L52" s="2"/>
    </row>
    <row r="53">
      <c r="A53" s="3">
        <v>52.0</v>
      </c>
      <c r="B53" s="3" t="b">
        <v>0</v>
      </c>
      <c r="C53" s="3" t="s">
        <v>18</v>
      </c>
      <c r="D53" s="3">
        <v>14.0</v>
      </c>
      <c r="E53" s="3" t="s">
        <v>23</v>
      </c>
      <c r="F53" s="3" t="s">
        <v>30</v>
      </c>
      <c r="G53" s="3" t="s">
        <v>36</v>
      </c>
      <c r="H53" s="4">
        <v>45912.71249208333</v>
      </c>
      <c r="I53" s="5">
        <f>IF(C53 = "Smile", H53 + 'Over View'!$B$3, IF(C53 = "Bianco" , H53 + 'Over View'!$B$4, IF(C53 = "Giallo" , H53 + 'Over View'!$B$5, IF(C53 = "Blu" , H53 + 'Over View'!$B$6, IF(C53 = "Verde" , H53 + 'Over View'!$B$7, IF(C53 = "Rosso" , H53 + 'Over View'!$B$8, "Grado Non Inserito") )))))</f>
        <v>45942.71249</v>
      </c>
      <c r="J53" s="4">
        <v>46031.37437297453</v>
      </c>
      <c r="K53" s="6" t="s">
        <v>15</v>
      </c>
      <c r="L53" s="2"/>
    </row>
    <row r="54">
      <c r="A54" s="3">
        <v>53.0</v>
      </c>
      <c r="B54" s="3" t="b">
        <v>0</v>
      </c>
      <c r="C54" s="3" t="s">
        <v>18</v>
      </c>
      <c r="D54" s="3">
        <v>12.0</v>
      </c>
      <c r="E54" s="3" t="s">
        <v>27</v>
      </c>
      <c r="F54" s="3" t="s">
        <v>30</v>
      </c>
      <c r="G54" s="3" t="s">
        <v>36</v>
      </c>
      <c r="H54" s="4">
        <v>45912.71267400463</v>
      </c>
      <c r="I54" s="5">
        <f>IF(C54 = "Smile", H54 + 'Over View'!$B$3, IF(C54 = "Bianco" , H54 + 'Over View'!$B$4, IF(C54 = "Giallo" , H54 + 'Over View'!$B$5, IF(C54 = "Blu" , H54 + 'Over View'!$B$6, IF(C54 = "Verde" , H54 + 'Over View'!$B$7, IF(C54 = "Rosso" , H54 + 'Over View'!$B$8, "Grado Non Inserito") )))))</f>
        <v>45942.71267</v>
      </c>
      <c r="J54" s="4">
        <v>46031.3743833912</v>
      </c>
      <c r="K54" s="6" t="s">
        <v>15</v>
      </c>
      <c r="L54" s="2"/>
    </row>
    <row r="55">
      <c r="A55" s="3">
        <v>54.0</v>
      </c>
      <c r="B55" s="3" t="b">
        <v>0</v>
      </c>
      <c r="C55" s="3" t="s">
        <v>21</v>
      </c>
      <c r="D55" s="3">
        <v>9.0</v>
      </c>
      <c r="E55" s="3" t="s">
        <v>31</v>
      </c>
      <c r="F55" s="3" t="s">
        <v>13</v>
      </c>
      <c r="G55" s="3" t="s">
        <v>36</v>
      </c>
      <c r="H55" s="4">
        <v>45912.7130915625</v>
      </c>
      <c r="I55" s="5">
        <f>IF(C55 = "Smile", H55 + 'Over View'!$B$3, IF(C55 = "Bianco" , H55 + 'Over View'!$B$4, IF(C55 = "Giallo" , H55 + 'Over View'!$B$5, IF(C55 = "Blu" , H55 + 'Over View'!$B$6, IF(C55 = "Verde" , H55 + 'Over View'!$B$7, IF(C55 = "Rosso" , H55 + 'Over View'!$B$8, "Grado Non Inserito") )))))</f>
        <v>45926.71309</v>
      </c>
      <c r="J55" s="4">
        <v>45943.4214753125</v>
      </c>
      <c r="K55" s="6" t="s">
        <v>15</v>
      </c>
      <c r="L55" s="2"/>
    </row>
    <row r="56">
      <c r="A56" s="3">
        <v>55.0</v>
      </c>
      <c r="B56" s="3" t="b">
        <v>0</v>
      </c>
      <c r="C56" s="3" t="s">
        <v>18</v>
      </c>
      <c r="D56" s="3">
        <v>13.0</v>
      </c>
      <c r="E56" s="3" t="s">
        <v>11</v>
      </c>
      <c r="F56" s="3" t="s">
        <v>30</v>
      </c>
      <c r="G56" s="3" t="s">
        <v>40</v>
      </c>
      <c r="H56" s="4">
        <v>45912.713329375</v>
      </c>
      <c r="I56" s="5">
        <f>IF(C56 = "Smile", H56 + 'Over View'!$B$3, IF(C56 = "Bianco" , H56 + 'Over View'!$B$4, IF(C56 = "Giallo" , H56 + 'Over View'!$B$5, IF(C56 = "Blu" , H56 + 'Over View'!$B$6, IF(C56 = "Verde" , H56 + 'Over View'!$B$7, IF(C56 = "Rosso" , H56 + 'Over View'!$B$8, "Grado Non Inserito") )))))</f>
        <v>45942.71333</v>
      </c>
      <c r="J56" s="4">
        <v>46031.37438652778</v>
      </c>
      <c r="K56" s="6" t="s">
        <v>15</v>
      </c>
      <c r="L56" s="2"/>
    </row>
    <row r="57">
      <c r="A57" s="3">
        <v>56.0</v>
      </c>
      <c r="B57" s="3" t="b">
        <v>0</v>
      </c>
      <c r="C57" s="3" t="s">
        <v>12</v>
      </c>
      <c r="D57" s="3">
        <v>12.0</v>
      </c>
      <c r="E57" s="3" t="s">
        <v>31</v>
      </c>
      <c r="F57" s="3" t="s">
        <v>20</v>
      </c>
      <c r="G57" s="3" t="s">
        <v>40</v>
      </c>
      <c r="H57" s="4">
        <v>45912.71360584491</v>
      </c>
      <c r="I57" s="5">
        <f>IF(C57 = "Smile", H57 + 'Over View'!$B$3, IF(C57 = "Bianco" , H57 + 'Over View'!$B$4, IF(C57 = "Giallo" , H57 + 'Over View'!$B$5, IF(C57 = "Blu" , H57 + 'Over View'!$B$6, IF(C57 = "Verde" , H57 + 'Over View'!$B$7, IF(C57 = "Rosso" , H57 + 'Over View'!$B$8, "Grado Non Inserito") )))))</f>
        <v>45942.71361</v>
      </c>
      <c r="J57" s="4">
        <v>46001.461126608796</v>
      </c>
      <c r="K57" s="6" t="s">
        <v>15</v>
      </c>
      <c r="L57" s="2"/>
    </row>
    <row r="58">
      <c r="A58" s="3">
        <v>57.0</v>
      </c>
      <c r="B58" s="3" t="b">
        <v>0</v>
      </c>
      <c r="C58" s="3" t="s">
        <v>11</v>
      </c>
      <c r="D58" s="3">
        <v>6.0</v>
      </c>
      <c r="E58" s="3" t="s">
        <v>12</v>
      </c>
      <c r="F58" s="3" t="s">
        <v>30</v>
      </c>
      <c r="G58" s="3" t="s">
        <v>36</v>
      </c>
      <c r="H58" s="4">
        <v>45916.37439528936</v>
      </c>
      <c r="I58" s="5">
        <f>IF(C58 = "Smile", H58 + 'Over View'!$B$3, IF(C58 = "Bianco" , H58 + 'Over View'!$B$4, IF(C58 = "Giallo" , H58 + 'Over View'!$B$5, IF(C58 = "Blu" , H58 + 'Over View'!$B$6, IF(C58 = "Verde" , H58 + 'Over View'!$B$7, IF(C58 = "Rosso" , H58 + 'Over View'!$B$8, "Grado Non Inserito") )))))</f>
        <v>45937.3744</v>
      </c>
      <c r="J58" s="4">
        <v>46008.51963995371</v>
      </c>
      <c r="K58" s="6" t="s">
        <v>15</v>
      </c>
      <c r="L58" s="2"/>
    </row>
    <row r="59">
      <c r="A59" s="3">
        <v>58.0</v>
      </c>
      <c r="B59" s="3" t="b">
        <v>0</v>
      </c>
      <c r="C59" s="3" t="s">
        <v>21</v>
      </c>
      <c r="D59" s="3">
        <v>12.0</v>
      </c>
      <c r="E59" s="3" t="s">
        <v>25</v>
      </c>
      <c r="F59" s="3" t="s">
        <v>13</v>
      </c>
      <c r="G59" s="3" t="s">
        <v>36</v>
      </c>
      <c r="H59" s="4">
        <v>45926.9086842824</v>
      </c>
      <c r="I59" s="5">
        <f>IF(C59 = "Smile", H59 + 'Over View'!$B$3, IF(C59 = "Bianco" , H59 + 'Over View'!$B$4, IF(C59 = "Giallo" , H59 + 'Over View'!$B$5, IF(C59 = "Blu" , H59 + 'Over View'!$B$6, IF(C59 = "Verde" , H59 + 'Over View'!$B$7, IF(C59 = "Rosso" , H59 + 'Over View'!$B$8, "Grado Non Inserito") )))))</f>
        <v>45940.90868</v>
      </c>
      <c r="J59" s="4">
        <v>45943.42168944444</v>
      </c>
      <c r="K59" s="6" t="s">
        <v>15</v>
      </c>
      <c r="L59" s="2"/>
    </row>
    <row r="60">
      <c r="A60" s="3">
        <v>59.0</v>
      </c>
      <c r="B60" s="3" t="b">
        <v>0</v>
      </c>
      <c r="C60" s="3" t="s">
        <v>21</v>
      </c>
      <c r="D60" s="3">
        <v>15.0</v>
      </c>
      <c r="E60" s="3" t="s">
        <v>19</v>
      </c>
      <c r="F60" s="3" t="s">
        <v>20</v>
      </c>
      <c r="G60" s="3" t="s">
        <v>36</v>
      </c>
      <c r="H60" s="4">
        <v>45926.909430196756</v>
      </c>
      <c r="I60" s="5">
        <f>IF(C60 = "Smile", H60 + 'Over View'!$B$3, IF(C60 = "Bianco" , H60 + 'Over View'!$B$4, IF(C60 = "Giallo" , H60 + 'Over View'!$B$5, IF(C60 = "Blu" , H60 + 'Over View'!$B$6, IF(C60 = "Verde" , H60 + 'Over View'!$B$7, IF(C60 = "Rosso" , H60 + 'Over View'!$B$8, "Grado Non Inserito") )))))</f>
        <v>45940.90943</v>
      </c>
      <c r="J60" s="4">
        <v>46031.37440502315</v>
      </c>
      <c r="K60" s="6" t="s">
        <v>15</v>
      </c>
      <c r="L60" s="2"/>
    </row>
    <row r="61">
      <c r="A61" s="3">
        <v>60.0</v>
      </c>
      <c r="B61" s="3" t="b">
        <v>0</v>
      </c>
      <c r="C61" s="3" t="s">
        <v>12</v>
      </c>
      <c r="D61" s="3">
        <v>13.0</v>
      </c>
      <c r="E61" s="3" t="s">
        <v>18</v>
      </c>
      <c r="F61" s="3" t="s">
        <v>26</v>
      </c>
      <c r="G61" s="3" t="s">
        <v>36</v>
      </c>
      <c r="H61" s="4">
        <v>45926.909939606485</v>
      </c>
      <c r="I61" s="5">
        <f>IF(C61 = "Smile", H61 + 'Over View'!$B$3, IF(C61 = "Bianco" , H61 + 'Over View'!$B$4, IF(C61 = "Giallo" , H61 + 'Over View'!$B$5, IF(C61 = "Blu" , H61 + 'Over View'!$B$6, IF(C61 = "Verde" , H61 + 'Over View'!$B$7, IF(C61 = "Rosso" , H61 + 'Over View'!$B$8, "Grado Non Inserito") )))))</f>
        <v>45956.90994</v>
      </c>
      <c r="J61" s="4">
        <v>46001.46132284722</v>
      </c>
      <c r="K61" s="6" t="s">
        <v>15</v>
      </c>
      <c r="L61" s="2"/>
    </row>
    <row r="62">
      <c r="A62" s="3">
        <v>61.0</v>
      </c>
      <c r="B62" s="3" t="b">
        <v>0</v>
      </c>
      <c r="C62" s="3" t="s">
        <v>18</v>
      </c>
      <c r="D62" s="3">
        <v>16.0</v>
      </c>
      <c r="E62" s="3" t="s">
        <v>25</v>
      </c>
      <c r="F62" s="3" t="s">
        <v>28</v>
      </c>
      <c r="G62" s="3" t="s">
        <v>39</v>
      </c>
      <c r="H62" s="4">
        <v>45926.90995134259</v>
      </c>
      <c r="I62" s="5">
        <f>IF(C62 = "Smile", H62 + 'Over View'!$B$3, IF(C62 = "Bianco" , H62 + 'Over View'!$B$4, IF(C62 = "Giallo" , H62 + 'Over View'!$B$5, IF(C62 = "Blu" , H62 + 'Over View'!$B$6, IF(C62 = "Verde" , H62 + 'Over View'!$B$7, IF(C62 = "Rosso" , H62 + 'Over View'!$B$8, "Grado Non Inserito") )))))</f>
        <v>45956.90995</v>
      </c>
      <c r="J62" s="4">
        <v>45966.673865833334</v>
      </c>
      <c r="K62" s="6" t="s">
        <v>15</v>
      </c>
      <c r="L62" s="2"/>
    </row>
    <row r="63">
      <c r="A63" s="3">
        <v>62.0</v>
      </c>
      <c r="B63" s="3" t="b">
        <v>0</v>
      </c>
      <c r="C63" s="3" t="s">
        <v>21</v>
      </c>
      <c r="D63" s="3">
        <v>13.0</v>
      </c>
      <c r="E63" s="3" t="s">
        <v>18</v>
      </c>
      <c r="F63" s="3" t="s">
        <v>28</v>
      </c>
      <c r="G63" s="3" t="s">
        <v>36</v>
      </c>
      <c r="H63" s="4">
        <v>45926.90994989584</v>
      </c>
      <c r="I63" s="5">
        <f>IF(C63 = "Smile", H63 + 'Over View'!$B$3, IF(C63 = "Bianco" , H63 + 'Over View'!$B$4, IF(C63 = "Giallo" , H63 + 'Over View'!$B$5, IF(C63 = "Blu" , H63 + 'Over View'!$B$6, IF(C63 = "Verde" , H63 + 'Over View'!$B$7, IF(C63 = "Rosso" , H63 + 'Over View'!$B$8, "Grado Non Inserito") )))))</f>
        <v>45940.90995</v>
      </c>
      <c r="J63" s="4">
        <v>46031.37442789352</v>
      </c>
      <c r="K63" s="6" t="s">
        <v>15</v>
      </c>
      <c r="L63" s="2"/>
    </row>
    <row r="64">
      <c r="A64" s="3">
        <v>63.0</v>
      </c>
      <c r="B64" s="3" t="b">
        <v>0</v>
      </c>
      <c r="C64" s="3" t="s">
        <v>23</v>
      </c>
      <c r="D64" s="3">
        <v>5.0</v>
      </c>
      <c r="E64" s="3" t="s">
        <v>19</v>
      </c>
      <c r="F64" s="3" t="s">
        <v>30</v>
      </c>
      <c r="G64" s="3" t="s">
        <v>36</v>
      </c>
      <c r="H64" s="4">
        <v>45926.91071952546</v>
      </c>
      <c r="I64" s="5">
        <f>IF(C64 = "Smile", H64 + 'Over View'!$B$3, IF(C64 = "Bianco" , H64 + 'Over View'!$B$4, IF(C64 = "Giallo" , H64 + 'Over View'!$B$5, IF(C64 = "Blu" , H64 + 'Over View'!$B$6, IF(C64 = "Verde" , H64 + 'Over View'!$B$7, IF(C64 = "Rosso" , H64 + 'Over View'!$B$8, "Grado Non Inserito") )))))</f>
        <v>45947.91072</v>
      </c>
      <c r="J64" s="4">
        <v>46031.37443545139</v>
      </c>
      <c r="K64" s="6" t="s">
        <v>15</v>
      </c>
      <c r="L64" s="2"/>
    </row>
    <row r="65">
      <c r="A65" s="3">
        <v>64.0</v>
      </c>
      <c r="B65" s="3" t="b">
        <v>0</v>
      </c>
      <c r="C65" s="3" t="s">
        <v>21</v>
      </c>
      <c r="D65" s="3">
        <v>10.0</v>
      </c>
      <c r="E65" s="3" t="s">
        <v>25</v>
      </c>
      <c r="F65" s="3" t="s">
        <v>32</v>
      </c>
      <c r="G65" s="3" t="s">
        <v>39</v>
      </c>
      <c r="H65" s="4">
        <v>45926.91109991898</v>
      </c>
      <c r="I65" s="5">
        <f>IF(C65 = "Smile", H65 + 'Over View'!$B$3, IF(C65 = "Bianco" , H65 + 'Over View'!$B$4, IF(C65 = "Giallo" , H65 + 'Over View'!$B$5, IF(C65 = "Blu" , H65 + 'Over View'!$B$6, IF(C65 = "Verde" , H65 + 'Over View'!$B$7, IF(C65 = "Rosso" , H65 + 'Over View'!$B$8, "Grado Non Inserito") )))))</f>
        <v>45940.9111</v>
      </c>
      <c r="J65" s="4">
        <v>46031.37444400463</v>
      </c>
      <c r="K65" s="6" t="s">
        <v>15</v>
      </c>
      <c r="L65" s="2"/>
    </row>
    <row r="66">
      <c r="A66" s="3">
        <v>65.0</v>
      </c>
      <c r="B66" s="3" t="b">
        <v>0</v>
      </c>
      <c r="C66" s="3" t="s">
        <v>21</v>
      </c>
      <c r="D66" s="3">
        <v>11.0</v>
      </c>
      <c r="E66" s="3" t="s">
        <v>23</v>
      </c>
      <c r="F66" s="3" t="s">
        <v>35</v>
      </c>
      <c r="G66" s="3" t="s">
        <v>39</v>
      </c>
      <c r="H66" s="4">
        <v>45926.91324765046</v>
      </c>
      <c r="I66" s="5">
        <f>IF(C66 = "Smile", H66 + 'Over View'!$B$3, IF(C66 = "Bianco" , H66 + 'Over View'!$B$4, IF(C66 = "Giallo" , H66 + 'Over View'!$B$5, IF(C66 = "Blu" , H66 + 'Over View'!$B$6, IF(C66 = "Verde" , H66 + 'Over View'!$B$7, IF(C66 = "Rosso" , H66 + 'Over View'!$B$8, "Grado Non Inserito") )))))</f>
        <v>45940.91325</v>
      </c>
      <c r="J66" s="4">
        <v>45966.67534299768</v>
      </c>
      <c r="K66" s="6" t="s">
        <v>15</v>
      </c>
      <c r="L66" s="2"/>
    </row>
    <row r="67">
      <c r="A67" s="3">
        <v>66.0</v>
      </c>
      <c r="B67" s="3" t="b">
        <v>0</v>
      </c>
      <c r="C67" s="3" t="s">
        <v>12</v>
      </c>
      <c r="D67" s="3">
        <v>14.0</v>
      </c>
      <c r="E67" s="3" t="s">
        <v>18</v>
      </c>
      <c r="F67" s="3" t="s">
        <v>32</v>
      </c>
      <c r="G67" s="3" t="s">
        <v>40</v>
      </c>
      <c r="H67" s="4">
        <v>46001.46185013889</v>
      </c>
      <c r="I67" s="5">
        <f>IF(C67 = "Smile", H67 + 'Over View'!$B$3, IF(C67 = "Bianco" , H67 + 'Over View'!$B$4, IF(C67 = "Giallo" , H67 + 'Over View'!$B$5, IF(C67 = "Blu" , H67 + 'Over View'!$B$6, IF(C67 = "Verde" , H67 + 'Over View'!$B$7, IF(C67 = "Rosso" , H67 + 'Over View'!$B$8, "Grado Non Inserito") )))))</f>
        <v>46031.46185</v>
      </c>
      <c r="J67" s="4">
        <v>46031.3745328588</v>
      </c>
      <c r="K67" s="6" t="s">
        <v>41</v>
      </c>
      <c r="L67" s="2"/>
    </row>
    <row r="68">
      <c r="A68" s="3">
        <v>67.0</v>
      </c>
      <c r="B68" s="3" t="b">
        <v>0</v>
      </c>
      <c r="C68" s="3" t="s">
        <v>18</v>
      </c>
      <c r="D68" s="3">
        <v>17.0</v>
      </c>
      <c r="E68" s="3" t="s">
        <v>19</v>
      </c>
      <c r="F68" s="3" t="s">
        <v>32</v>
      </c>
      <c r="G68" s="3" t="s">
        <v>40</v>
      </c>
      <c r="H68" s="4">
        <v>45931.493450277776</v>
      </c>
      <c r="I68" s="5">
        <f>IF(C68 = "Smile", H68 + 'Over View'!$B$3, IF(C68 = "Bianco" , H68 + 'Over View'!$B$4, IF(C68 = "Giallo" , H68 + 'Over View'!$B$5, IF(C68 = "Blu" , H68 + 'Over View'!$B$6, IF(C68 = "Verde" , H68 + 'Over View'!$B$7, IF(C68 = "Rosso" , H68 + 'Over View'!$B$8, "Grado Non Inserito") )))))</f>
        <v>45961.49345</v>
      </c>
      <c r="J68" s="4">
        <v>46031.374551817134</v>
      </c>
      <c r="K68" s="6" t="s">
        <v>41</v>
      </c>
      <c r="L68" s="2"/>
    </row>
    <row r="69">
      <c r="A69" s="3">
        <v>68.0</v>
      </c>
      <c r="B69" s="3" t="b">
        <v>0</v>
      </c>
      <c r="C69" s="3" t="s">
        <v>11</v>
      </c>
      <c r="D69" s="3">
        <v>7.0</v>
      </c>
      <c r="E69" s="3" t="s">
        <v>12</v>
      </c>
      <c r="F69" s="3" t="s">
        <v>30</v>
      </c>
      <c r="G69" s="3" t="s">
        <v>40</v>
      </c>
      <c r="H69" s="4">
        <v>45931.49424552084</v>
      </c>
      <c r="I69" s="5">
        <f>IF(C69 = "Smile", H69 + 'Over View'!$B$3, IF(C69 = "Bianco" , H69 + 'Over View'!$B$4, IF(C69 = "Giallo" , H69 + 'Over View'!$B$5, IF(C69 = "Blu" , H69 + 'Over View'!$B$6, IF(C69 = "Verde" , H69 + 'Over View'!$B$7, IF(C69 = "Rosso" , H69 + 'Over View'!$B$8, "Grado Non Inserito") )))))</f>
        <v>45952.49425</v>
      </c>
      <c r="J69" s="4">
        <v>46031.37455872685</v>
      </c>
      <c r="K69" s="6" t="s">
        <v>41</v>
      </c>
      <c r="L69" s="2"/>
    </row>
    <row r="70">
      <c r="A70" s="3">
        <v>69.0</v>
      </c>
      <c r="B70" s="3" t="b">
        <v>0</v>
      </c>
      <c r="C70" s="3" t="s">
        <v>12</v>
      </c>
      <c r="D70" s="3">
        <v>2.0</v>
      </c>
      <c r="E70" s="3" t="s">
        <v>23</v>
      </c>
      <c r="F70" s="3" t="s">
        <v>13</v>
      </c>
      <c r="G70" s="3" t="s">
        <v>40</v>
      </c>
      <c r="H70" s="4">
        <v>45943.0</v>
      </c>
      <c r="I70" s="5">
        <f>IF(C70 = "Smile", H70 + 'Over View'!$B$3, IF(C70 = "Bianco" , H70 + 'Over View'!$B$4, IF(C70 = "Giallo" , H70 + 'Over View'!$B$5, IF(C70 = "Blu" , H70 + 'Over View'!$B$6, IF(C70 = "Verde" , H70 + 'Over View'!$B$7, IF(C70 = "Rosso" , H70 + 'Over View'!$B$8, "Grado Non Inserito") )))))</f>
        <v>45973</v>
      </c>
      <c r="J70" s="4">
        <v>46031.3745681713</v>
      </c>
      <c r="K70" s="6" t="s">
        <v>15</v>
      </c>
      <c r="L70" s="2"/>
    </row>
    <row r="71">
      <c r="A71" s="3">
        <v>70.0</v>
      </c>
      <c r="B71" s="3" t="b">
        <v>0</v>
      </c>
      <c r="C71" s="3" t="s">
        <v>21</v>
      </c>
      <c r="D71" s="3">
        <v>9.0</v>
      </c>
      <c r="E71" s="3" t="s">
        <v>12</v>
      </c>
      <c r="F71" s="3" t="s">
        <v>13</v>
      </c>
      <c r="G71" s="3" t="s">
        <v>40</v>
      </c>
      <c r="H71" s="4">
        <v>45943.48799204861</v>
      </c>
      <c r="I71" s="5">
        <f>IF(C71 = "Smile", H71 + 'Over View'!$B$3, IF(C71 = "Bianco" , H71 + 'Over View'!$B$4, IF(C71 = "Giallo" , H71 + 'Over View'!$B$5, IF(C71 = "Blu" , H71 + 'Over View'!$B$6, IF(C71 = "Verde" , H71 + 'Over View'!$B$7, IF(C71 = "Rosso" , H71 + 'Over View'!$B$8, "Grado Non Inserito") )))))</f>
        <v>45957.48799</v>
      </c>
      <c r="J71" s="4">
        <v>46031.3747074537</v>
      </c>
      <c r="K71" s="6" t="s">
        <v>15</v>
      </c>
      <c r="L71" s="2"/>
    </row>
    <row r="72">
      <c r="A72" s="3">
        <v>71.0</v>
      </c>
      <c r="B72" s="3" t="b">
        <v>0</v>
      </c>
      <c r="C72" s="3" t="s">
        <v>16</v>
      </c>
      <c r="D72" s="3">
        <v>1.0</v>
      </c>
      <c r="E72" s="3" t="s">
        <v>11</v>
      </c>
      <c r="F72" s="3" t="s">
        <v>20</v>
      </c>
      <c r="G72" s="3" t="s">
        <v>40</v>
      </c>
      <c r="H72" s="4">
        <v>45943.48835988426</v>
      </c>
      <c r="I72" s="5">
        <f>IF(C72 = "Smile", H72 + 'Over View'!$B$3, IF(C72 = "Bianco" , H72 + 'Over View'!$B$4, IF(C72 = "Giallo" , H72 + 'Over View'!$B$5, IF(C72 = "Blu" , H72 + 'Over View'!$B$6, IF(C72 = "Verde" , H72 + 'Over View'!$B$7, IF(C72 = "Rosso" , H72 + 'Over View'!$B$8, "Grado Non Inserito") )))))</f>
        <v>45957.48836</v>
      </c>
      <c r="J72" s="4">
        <v>46031.37460711805</v>
      </c>
      <c r="K72" s="6" t="s">
        <v>15</v>
      </c>
      <c r="L72" s="2"/>
    </row>
    <row r="73">
      <c r="A73" s="3">
        <v>72.0</v>
      </c>
      <c r="B73" s="3" t="b">
        <v>0</v>
      </c>
      <c r="C73" s="3" t="s">
        <v>21</v>
      </c>
      <c r="D73" s="3">
        <v>12.0</v>
      </c>
      <c r="E73" s="3" t="s">
        <v>22</v>
      </c>
      <c r="F73" s="3" t="s">
        <v>26</v>
      </c>
      <c r="G73" s="3" t="s">
        <v>40</v>
      </c>
      <c r="H73" s="4">
        <v>45943.48880115741</v>
      </c>
      <c r="I73" s="5">
        <f>IF(C73 = "Smile", H73 + 'Over View'!$B$3, IF(C73 = "Bianco" , H73 + 'Over View'!$B$4, IF(C73 = "Giallo" , H73 + 'Over View'!$B$5, IF(C73 = "Blu" , H73 + 'Over View'!$B$6, IF(C73 = "Verde" , H73 + 'Over View'!$B$7, IF(C73 = "Rosso" , H73 + 'Over View'!$B$8, "Grado Non Inserito") )))))</f>
        <v>45957.4888</v>
      </c>
      <c r="J73" s="4">
        <v>46031.3746212963</v>
      </c>
      <c r="K73" s="6" t="s">
        <v>15</v>
      </c>
      <c r="L73" s="2"/>
    </row>
    <row r="74">
      <c r="A74" s="3">
        <v>73.0</v>
      </c>
      <c r="B74" s="3" t="b">
        <v>0</v>
      </c>
      <c r="C74" s="3" t="s">
        <v>12</v>
      </c>
      <c r="D74" s="3">
        <v>15.0</v>
      </c>
      <c r="E74" s="3" t="s">
        <v>12</v>
      </c>
      <c r="F74" s="3" t="s">
        <v>26</v>
      </c>
      <c r="G74" s="3" t="s">
        <v>40</v>
      </c>
      <c r="H74" s="4">
        <v>45943.52127424769</v>
      </c>
      <c r="I74" s="5">
        <f>IF(C74 = "Smile", H74 + 'Over View'!$B$3, IF(C74 = "Bianco" , H74 + 'Over View'!$B$4, IF(C74 = "Giallo" , H74 + 'Over View'!$B$5, IF(C74 = "Blu" , H74 + 'Over View'!$B$6, IF(C74 = "Verde" , H74 + 'Over View'!$B$7, IF(C74 = "Rosso" , H74 + 'Over View'!$B$8, "Grado Non Inserito") )))))</f>
        <v>45973.52127</v>
      </c>
      <c r="J74" s="4">
        <v>46031.37462818287</v>
      </c>
      <c r="K74" s="6" t="s">
        <v>15</v>
      </c>
      <c r="L74" s="2"/>
    </row>
    <row r="75">
      <c r="A75" s="3">
        <v>74.0</v>
      </c>
      <c r="B75" s="3" t="b">
        <v>0</v>
      </c>
      <c r="C75" s="3" t="s">
        <v>21</v>
      </c>
      <c r="D75" s="3">
        <v>5.0</v>
      </c>
      <c r="E75" s="3" t="s">
        <v>23</v>
      </c>
      <c r="F75" s="3" t="s">
        <v>33</v>
      </c>
      <c r="G75" s="3" t="s">
        <v>40</v>
      </c>
      <c r="H75" s="4">
        <v>45944.67802115741</v>
      </c>
      <c r="I75" s="5">
        <f>IF(C75 = "Smile", H75 + 'Over View'!$B$3, IF(C75 = "Bianco" , H75 + 'Over View'!$B$4, IF(C75 = "Giallo" , H75 + 'Over View'!$B$5, IF(C75 = "Blu" , H75 + 'Over View'!$B$6, IF(C75 = "Verde" , H75 + 'Over View'!$B$7, IF(C75 = "Rosso" , H75 + 'Over View'!$B$8, "Grado Non Inserito") )))))</f>
        <v>45958.67802</v>
      </c>
      <c r="J75" s="4">
        <v>46031.37463315972</v>
      </c>
      <c r="K75" s="6" t="s">
        <v>15</v>
      </c>
      <c r="L75" s="2"/>
    </row>
    <row r="76">
      <c r="A76" s="3">
        <v>75.0</v>
      </c>
      <c r="B76" s="3" t="b">
        <v>0</v>
      </c>
      <c r="C76" s="3" t="s">
        <v>16</v>
      </c>
      <c r="D76" s="3">
        <v>7.0</v>
      </c>
      <c r="E76" s="3" t="s">
        <v>19</v>
      </c>
      <c r="F76" s="3" t="s">
        <v>13</v>
      </c>
      <c r="G76" s="3" t="s">
        <v>40</v>
      </c>
      <c r="H76" s="4">
        <v>45944.67830056713</v>
      </c>
      <c r="I76" s="5">
        <f>IF(C76 = "Smile", H76 + 'Over View'!$B$3, IF(C76 = "Bianco" , H76 + 'Over View'!$B$4, IF(C76 = "Giallo" , H76 + 'Over View'!$B$5, IF(C76 = "Blu" , H76 + 'Over View'!$B$6, IF(C76 = "Verde" , H76 + 'Over View'!$B$7, IF(C76 = "Rosso" , H76 + 'Over View'!$B$8, "Grado Non Inserito") )))))</f>
        <v>45958.6783</v>
      </c>
      <c r="J76" s="4">
        <v>46031.37466851852</v>
      </c>
      <c r="K76" s="6" t="s">
        <v>15</v>
      </c>
      <c r="L76" s="2"/>
    </row>
    <row r="77">
      <c r="A77" s="3">
        <v>76.0</v>
      </c>
      <c r="B77" s="3" t="b">
        <v>0</v>
      </c>
      <c r="C77" s="3" t="s">
        <v>12</v>
      </c>
      <c r="D77" s="3">
        <v>16.0</v>
      </c>
      <c r="E77" s="3" t="s">
        <v>12</v>
      </c>
      <c r="F77" s="3" t="s">
        <v>32</v>
      </c>
      <c r="G77" s="3" t="s">
        <v>40</v>
      </c>
      <c r="H77" s="4">
        <v>45944.678837141204</v>
      </c>
      <c r="I77" s="5">
        <f>IF(C77 = "Smile", H77 + 'Over View'!$B$3, IF(C77 = "Bianco" , H77 + 'Over View'!$B$4, IF(C77 = "Giallo" , H77 + 'Over View'!$B$5, IF(C77 = "Blu" , H77 + 'Over View'!$B$6, IF(C77 = "Verde" , H77 + 'Over View'!$B$7, IF(C77 = "Rosso" , H77 + 'Over View'!$B$8, "Grado Non Inserito") )))))</f>
        <v>45974.67884</v>
      </c>
      <c r="J77" s="4">
        <v>46031.37468172454</v>
      </c>
      <c r="K77" s="6" t="s">
        <v>15</v>
      </c>
      <c r="L77" s="2"/>
    </row>
    <row r="78">
      <c r="A78" s="3">
        <v>77.0</v>
      </c>
      <c r="B78" s="3" t="b">
        <v>0</v>
      </c>
      <c r="C78" s="3" t="s">
        <v>18</v>
      </c>
      <c r="D78" s="3">
        <v>6.0</v>
      </c>
      <c r="E78" s="3" t="s">
        <v>19</v>
      </c>
      <c r="F78" s="3" t="s">
        <v>32</v>
      </c>
      <c r="G78" s="3" t="s">
        <v>40</v>
      </c>
      <c r="H78" s="4">
        <v>45944.679106701384</v>
      </c>
      <c r="I78" s="5">
        <f>IF(C78 = "Smile", H78 + 'Over View'!$B$3, IF(C78 = "Bianco" , H78 + 'Over View'!$B$4, IF(C78 = "Giallo" , H78 + 'Over View'!$B$5, IF(C78 = "Blu" , H78 + 'Over View'!$B$6, IF(C78 = "Verde" , H78 + 'Over View'!$B$7, IF(C78 = "Rosso" , H78 + 'Over View'!$B$8, "Grado Non Inserito") )))))</f>
        <v>45974.67911</v>
      </c>
      <c r="J78" s="4">
        <v>46031.37464498843</v>
      </c>
      <c r="K78" s="6" t="s">
        <v>15</v>
      </c>
      <c r="L78" s="2"/>
    </row>
    <row r="79">
      <c r="A79" s="3">
        <v>78.0</v>
      </c>
      <c r="B79" s="3" t="b">
        <v>0</v>
      </c>
      <c r="C79" s="3" t="s">
        <v>18</v>
      </c>
      <c r="D79" s="3">
        <v>7.0</v>
      </c>
      <c r="E79" s="3" t="s">
        <v>23</v>
      </c>
      <c r="F79" s="3" t="s">
        <v>26</v>
      </c>
      <c r="G79" s="3" t="s">
        <v>40</v>
      </c>
      <c r="H79" s="4">
        <v>45944.679476516205</v>
      </c>
      <c r="I79" s="5">
        <f>IF(C79 = "Smile", H79 + 'Over View'!$B$3, IF(C79 = "Bianco" , H79 + 'Over View'!$B$4, IF(C79 = "Giallo" , H79 + 'Over View'!$B$5, IF(C79 = "Blu" , H79 + 'Over View'!$B$6, IF(C79 = "Verde" , H79 + 'Over View'!$B$7, IF(C79 = "Rosso" , H79 + 'Over View'!$B$8, "Grado Non Inserito") )))))</f>
        <v>45974.67948</v>
      </c>
      <c r="J79" s="4">
        <v>46031.37467506944</v>
      </c>
      <c r="K79" s="6" t="s">
        <v>15</v>
      </c>
      <c r="L79" s="2"/>
    </row>
    <row r="80">
      <c r="A80" s="3">
        <v>79.0</v>
      </c>
      <c r="B80" s="3" t="b">
        <v>0</v>
      </c>
      <c r="C80" s="3" t="s">
        <v>16</v>
      </c>
      <c r="D80" s="3">
        <v>8.0</v>
      </c>
      <c r="E80" s="3" t="s">
        <v>22</v>
      </c>
      <c r="F80" s="3" t="s">
        <v>33</v>
      </c>
      <c r="G80" s="3" t="s">
        <v>36</v>
      </c>
      <c r="H80" s="4">
        <v>45946.66849224537</v>
      </c>
      <c r="I80" s="5">
        <f>IF(C80 = "Smile", H80 + 'Over View'!$B$3, IF(C80 = "Bianco" , H80 + 'Over View'!$B$4, IF(C80 = "Giallo" , H80 + 'Over View'!$B$5, IF(C80 = "Blu" , H80 + 'Over View'!$B$6, IF(C80 = "Verde" , H80 + 'Over View'!$B$7, IF(C80 = "Rosso" , H80 + 'Over View'!$B$8, "Grado Non Inserito") )))))</f>
        <v>45960.66849</v>
      </c>
      <c r="J80" s="4">
        <v>46031.374671909725</v>
      </c>
      <c r="K80" s="6" t="s">
        <v>15</v>
      </c>
      <c r="L80" s="2"/>
    </row>
    <row r="81">
      <c r="A81" s="3">
        <v>80.0</v>
      </c>
      <c r="B81" s="3" t="b">
        <v>0</v>
      </c>
      <c r="C81" s="3" t="s">
        <v>21</v>
      </c>
      <c r="D81" s="3">
        <v>16.0</v>
      </c>
      <c r="E81" s="3" t="s">
        <v>27</v>
      </c>
      <c r="F81" s="3" t="s">
        <v>35</v>
      </c>
      <c r="G81" s="3" t="s">
        <v>36</v>
      </c>
      <c r="H81" s="4">
        <v>45946.66849851852</v>
      </c>
      <c r="I81" s="5">
        <f>IF(C81 = "Smile", H81 + 'Over View'!$B$3, IF(C81 = "Bianco" , H81 + 'Over View'!$B$4, IF(C81 = "Giallo" , H81 + 'Over View'!$B$5, IF(C81 = "Blu" , H81 + 'Over View'!$B$6, IF(C81 = "Verde" , H81 + 'Over View'!$B$7, IF(C81 = "Rosso" , H81 + 'Over View'!$B$8, "Grado Non Inserito") )))))</f>
        <v>45960.6685</v>
      </c>
      <c r="J81" s="4">
        <v>46031.37468170139</v>
      </c>
      <c r="K81" s="6" t="s">
        <v>15</v>
      </c>
      <c r="L81" s="2"/>
    </row>
    <row r="82">
      <c r="A82" s="3">
        <v>81.0</v>
      </c>
      <c r="B82" s="3" t="b">
        <v>0</v>
      </c>
      <c r="C82" s="3" t="s">
        <v>21</v>
      </c>
      <c r="D82" s="2"/>
      <c r="E82" s="3" t="s">
        <v>11</v>
      </c>
      <c r="F82" s="3" t="s">
        <v>32</v>
      </c>
      <c r="G82" s="3" t="s">
        <v>36</v>
      </c>
      <c r="H82" s="4">
        <v>45946.668498784726</v>
      </c>
      <c r="I82" s="5">
        <f>IF(C82 = "Smile", H82 + 'Over View'!$B$3, IF(C82 = "Bianco" , H82 + 'Over View'!$B$4, IF(C82 = "Giallo" , H82 + 'Over View'!$B$5, IF(C82 = "Blu" , H82 + 'Over View'!$B$6, IF(C82 = "Verde" , H82 + 'Over View'!$B$7, IF(C82 = "Rosso" , H82 + 'Over View'!$B$8, "Grado Non Inserito") )))))</f>
        <v>45960.6685</v>
      </c>
      <c r="J82" s="4">
        <v>46031.37466743056</v>
      </c>
      <c r="K82" s="6" t="s">
        <v>15</v>
      </c>
      <c r="L82" s="2"/>
    </row>
    <row r="83">
      <c r="A83" s="3">
        <v>82.0</v>
      </c>
      <c r="B83" s="3" t="b">
        <v>0</v>
      </c>
      <c r="C83" s="3" t="s">
        <v>11</v>
      </c>
      <c r="D83" s="2"/>
      <c r="E83" s="3" t="s">
        <v>11</v>
      </c>
      <c r="F83" s="3" t="s">
        <v>28</v>
      </c>
      <c r="G83" s="3" t="s">
        <v>36</v>
      </c>
      <c r="H83" s="4">
        <v>45946.66852215277</v>
      </c>
      <c r="I83" s="5">
        <f>IF(C83 = "Smile", H83 + 'Over View'!$B$3, IF(C83 = "Bianco" , H83 + 'Over View'!$B$4, IF(C83 = "Giallo" , H83 + 'Over View'!$B$5, IF(C83 = "Blu" , H83 + 'Over View'!$B$6, IF(C83 = "Verde" , H83 + 'Over View'!$B$7, IF(C83 = "Rosso" , H83 + 'Over View'!$B$8, "Grado Non Inserito") )))))</f>
        <v>45967.66852</v>
      </c>
      <c r="J83" s="4">
        <v>46031.37469920139</v>
      </c>
      <c r="K83" s="6" t="s">
        <v>15</v>
      </c>
      <c r="L83" s="2"/>
    </row>
    <row r="84">
      <c r="A84" s="3">
        <v>83.0</v>
      </c>
      <c r="B84" s="3" t="b">
        <v>0</v>
      </c>
      <c r="C84" s="3" t="s">
        <v>21</v>
      </c>
      <c r="D84" s="2"/>
      <c r="E84" s="3" t="s">
        <v>25</v>
      </c>
      <c r="F84" s="3" t="s">
        <v>20</v>
      </c>
      <c r="G84" s="3" t="s">
        <v>36</v>
      </c>
      <c r="H84" s="4">
        <v>45946.66860005787</v>
      </c>
      <c r="I84" s="5">
        <f>IF(C84 = "Smile", H84 + 'Over View'!$B$3, IF(C84 = "Bianco" , H84 + 'Over View'!$B$4, IF(C84 = "Giallo" , H84 + 'Over View'!$B$5, IF(C84 = "Blu" , H84 + 'Over View'!$B$6, IF(C84 = "Verde" , H84 + 'Over View'!$B$7, IF(C84 = "Rosso" , H84 + 'Over View'!$B$8, "Grado Non Inserito") )))))</f>
        <v>45960.6686</v>
      </c>
      <c r="J84" s="4">
        <v>46031.374720486114</v>
      </c>
      <c r="K84" s="6" t="s">
        <v>15</v>
      </c>
      <c r="L84" s="2"/>
    </row>
    <row r="85">
      <c r="A85" s="3">
        <v>84.0</v>
      </c>
      <c r="B85" s="3" t="b">
        <v>0</v>
      </c>
      <c r="C85" s="3" t="s">
        <v>16</v>
      </c>
      <c r="D85" s="3">
        <v>4.0</v>
      </c>
      <c r="E85" s="3" t="s">
        <v>22</v>
      </c>
      <c r="F85" s="3" t="s">
        <v>28</v>
      </c>
      <c r="G85" s="3" t="s">
        <v>14</v>
      </c>
      <c r="H85" s="4">
        <v>45950.548493333336</v>
      </c>
      <c r="I85" s="5">
        <f>IF(C85 = "Smile", H85 + 'Over View'!$B$3, IF(C85 = "Bianco" , H85 + 'Over View'!$B$4, IF(C85 = "Giallo" , H85 + 'Over View'!$B$5, IF(C85 = "Blu" , H85 + 'Over View'!$B$6, IF(C85 = "Verde" , H85 + 'Over View'!$B$7, IF(C85 = "Rosso" , H85 + 'Over View'!$B$8, "Grado Non Inserito") )))))</f>
        <v>45964.54849</v>
      </c>
      <c r="J85" s="4">
        <v>46031.37472766204</v>
      </c>
      <c r="K85" s="6" t="s">
        <v>15</v>
      </c>
      <c r="L85" s="2"/>
    </row>
    <row r="86">
      <c r="A86" s="3">
        <v>85.0</v>
      </c>
      <c r="B86" s="3" t="b">
        <v>0</v>
      </c>
      <c r="C86" s="3" t="s">
        <v>21</v>
      </c>
      <c r="D86" s="3">
        <v>3.0</v>
      </c>
      <c r="E86" s="3" t="s">
        <v>11</v>
      </c>
      <c r="F86" s="3" t="s">
        <v>26</v>
      </c>
      <c r="G86" s="3" t="s">
        <v>14</v>
      </c>
      <c r="H86" s="4">
        <v>45950.54903540509</v>
      </c>
      <c r="I86" s="5">
        <f>IF(C86 = "Smile", H86 + 'Over View'!$B$3, IF(C86 = "Bianco" , H86 + 'Over View'!$B$4, IF(C86 = "Giallo" , H86 + 'Over View'!$B$5, IF(C86 = "Blu" , H86 + 'Over View'!$B$6, IF(C86 = "Verde" , H86 + 'Over View'!$B$7, IF(C86 = "Rosso" , H86 + 'Over View'!$B$8, "Grado Non Inserito") )))))</f>
        <v>45964.54904</v>
      </c>
      <c r="J86" s="4">
        <v>46008.5200225</v>
      </c>
      <c r="K86" s="6" t="s">
        <v>15</v>
      </c>
      <c r="L86" s="2"/>
    </row>
    <row r="87">
      <c r="A87" s="3">
        <v>86.0</v>
      </c>
      <c r="B87" s="3" t="b">
        <v>0</v>
      </c>
      <c r="C87" s="3" t="s">
        <v>21</v>
      </c>
      <c r="D87" s="3">
        <v>7.0</v>
      </c>
      <c r="E87" s="3" t="s">
        <v>25</v>
      </c>
      <c r="F87" s="3" t="s">
        <v>33</v>
      </c>
      <c r="G87" s="3" t="s">
        <v>36</v>
      </c>
      <c r="H87" s="4">
        <v>45952.471999236106</v>
      </c>
      <c r="I87" s="5">
        <f>IF(C87 = "Smile", H87 + 'Over View'!$B$3, IF(C87 = "Bianco" , H87 + 'Over View'!$B$4, IF(C87 = "Giallo" , H87 + 'Over View'!$B$5, IF(C87 = "Blu" , H87 + 'Over View'!$B$6, IF(C87 = "Verde" , H87 + 'Over View'!$B$7, IF(C87 = "Rosso" , H87 + 'Over View'!$B$8, "Grado Non Inserito") )))))</f>
        <v>45966.472</v>
      </c>
      <c r="J87" s="4">
        <v>46031.37473267361</v>
      </c>
      <c r="K87" s="6" t="s">
        <v>15</v>
      </c>
      <c r="L87" s="2"/>
    </row>
    <row r="88">
      <c r="A88" s="3">
        <v>87.0</v>
      </c>
      <c r="B88" s="3" t="b">
        <v>0</v>
      </c>
      <c r="C88" s="3" t="s">
        <v>12</v>
      </c>
      <c r="D88" s="3">
        <v>17.0</v>
      </c>
      <c r="E88" s="3" t="s">
        <v>19</v>
      </c>
      <c r="F88" s="3" t="s">
        <v>35</v>
      </c>
      <c r="G88" s="3" t="s">
        <v>40</v>
      </c>
      <c r="H88" s="4">
        <v>45952.47199918982</v>
      </c>
      <c r="I88" s="5">
        <f>IF(C88 = "Smile", H88 + 'Over View'!$B$3, IF(C88 = "Bianco" , H88 + 'Over View'!$B$4, IF(C88 = "Giallo" , H88 + 'Over View'!$B$5, IF(C88 = "Blu" , H88 + 'Over View'!$B$6, IF(C88 = "Verde" , H88 + 'Over View'!$B$7, IF(C88 = "Rosso" , H88 + 'Over View'!$B$8, "Grado Non Inserito") )))))</f>
        <v>45982.472</v>
      </c>
      <c r="J88" s="4">
        <v>46031.37474131944</v>
      </c>
      <c r="K88" s="6" t="s">
        <v>15</v>
      </c>
      <c r="L88" s="2"/>
    </row>
    <row r="89">
      <c r="A89" s="3">
        <v>88.0</v>
      </c>
      <c r="B89" s="3" t="b">
        <v>0</v>
      </c>
      <c r="C89" s="3" t="s">
        <v>11</v>
      </c>
      <c r="D89" s="3">
        <v>4.0</v>
      </c>
      <c r="E89" s="3" t="s">
        <v>19</v>
      </c>
      <c r="F89" s="3" t="s">
        <v>38</v>
      </c>
      <c r="G89" s="3" t="s">
        <v>40</v>
      </c>
      <c r="H89" s="4">
        <v>45952.47220883102</v>
      </c>
      <c r="I89" s="5">
        <f>IF(C89 = "Smile", H89 + 'Over View'!$B$3, IF(C89 = "Bianco" , H89 + 'Over View'!$B$4, IF(C89 = "Giallo" , H89 + 'Over View'!$B$5, IF(C89 = "Blu" , H89 + 'Over View'!$B$6, IF(C89 = "Verde" , H89 + 'Over View'!$B$7, IF(C89 = "Rosso" , H89 + 'Over View'!$B$8, "Grado Non Inserito") )))))</f>
        <v>45973.47221</v>
      </c>
      <c r="J89" s="4">
        <v>46031.374747905094</v>
      </c>
      <c r="K89" s="6" t="s">
        <v>15</v>
      </c>
      <c r="L89" s="2"/>
    </row>
    <row r="90">
      <c r="A90" s="3">
        <v>89.0</v>
      </c>
      <c r="B90" s="3" t="b">
        <v>0</v>
      </c>
      <c r="C90" s="3" t="s">
        <v>18</v>
      </c>
      <c r="D90" s="3">
        <v>9.0</v>
      </c>
      <c r="E90" s="3" t="s">
        <v>23</v>
      </c>
      <c r="F90" s="3" t="s">
        <v>38</v>
      </c>
      <c r="G90" s="3" t="s">
        <v>36</v>
      </c>
      <c r="H90" s="4">
        <v>45952.47918759259</v>
      </c>
      <c r="I90" s="5">
        <f>IF(C90 = "Smile", H90 + 'Over View'!$B$3, IF(C90 = "Bianco" , H90 + 'Over View'!$B$4, IF(C90 = "Giallo" , H90 + 'Over View'!$B$5, IF(C90 = "Blu" , H90 + 'Over View'!$B$6, IF(C90 = "Verde" , H90 + 'Over View'!$B$7, IF(C90 = "Rosso" , H90 + 'Over View'!$B$8, "Grado Non Inserito") )))))</f>
        <v>45982.47919</v>
      </c>
      <c r="J90" s="4">
        <v>46031.37475644676</v>
      </c>
      <c r="K90" s="6" t="s">
        <v>15</v>
      </c>
      <c r="L90" s="2"/>
    </row>
    <row r="91">
      <c r="A91" s="3">
        <v>90.0</v>
      </c>
      <c r="B91" s="3" t="b">
        <v>0</v>
      </c>
      <c r="C91" s="3" t="s">
        <v>16</v>
      </c>
      <c r="D91" s="3">
        <v>2.0</v>
      </c>
      <c r="E91" s="3" t="s">
        <v>11</v>
      </c>
      <c r="F91" s="3" t="s">
        <v>33</v>
      </c>
      <c r="G91" s="3" t="s">
        <v>40</v>
      </c>
      <c r="H91" s="4">
        <v>45952.49840563658</v>
      </c>
      <c r="I91" s="5">
        <f>IF(C91 = "Smile", H91 + 'Over View'!$B$3, IF(C91 = "Bianco" , H91 + 'Over View'!$B$4, IF(C91 = "Giallo" , H91 + 'Over View'!$B$5, IF(C91 = "Blu" , H91 + 'Over View'!$B$6, IF(C91 = "Verde" , H91 + 'Over View'!$B$7, IF(C91 = "Rosso" , H91 + 'Over View'!$B$8, "Grado Non Inserito") )))))</f>
        <v>45966.49841</v>
      </c>
      <c r="J91" s="4">
        <v>46031.37476815972</v>
      </c>
      <c r="K91" s="6" t="s">
        <v>15</v>
      </c>
      <c r="L91" s="2"/>
    </row>
    <row r="92">
      <c r="A92" s="3">
        <v>91.0</v>
      </c>
      <c r="B92" s="3" t="b">
        <v>0</v>
      </c>
      <c r="C92" s="3" t="s">
        <v>12</v>
      </c>
      <c r="D92" s="2"/>
      <c r="E92" s="3" t="s">
        <v>11</v>
      </c>
      <c r="F92" s="3" t="s">
        <v>13</v>
      </c>
      <c r="G92" s="3" t="s">
        <v>36</v>
      </c>
      <c r="H92" s="4">
        <v>45966.56770356481</v>
      </c>
      <c r="I92" s="5">
        <f>IF(C92 = "Smile", H92 + 'Over View'!$B$3, IF(C92 = "Bianco" , H92 + 'Over View'!$B$4, IF(C92 = "Giallo" , H92 + 'Over View'!$B$5, IF(C92 = "Blu" , H92 + 'Over View'!$B$6, IF(C92 = "Verde" , H92 + 'Over View'!$B$7, IF(C92 = "Rosso" , H92 + 'Over View'!$B$8, "Grado Non Inserito") )))))</f>
        <v>45996.5677</v>
      </c>
      <c r="J92" s="4">
        <v>46031.37477472222</v>
      </c>
      <c r="K92" s="6" t="s">
        <v>15</v>
      </c>
      <c r="L92" s="2"/>
    </row>
    <row r="93">
      <c r="A93" s="3">
        <v>92.0</v>
      </c>
      <c r="B93" s="3" t="b">
        <v>0</v>
      </c>
      <c r="C93" s="3" t="s">
        <v>18</v>
      </c>
      <c r="D93" s="2"/>
      <c r="E93" s="3" t="s">
        <v>18</v>
      </c>
      <c r="F93" s="3" t="s">
        <v>20</v>
      </c>
      <c r="G93" s="3" t="s">
        <v>36</v>
      </c>
      <c r="H93" s="4">
        <v>45960.0</v>
      </c>
      <c r="I93" s="5">
        <f>IF(C93 = "Smile", H93 + 'Over View'!$B$3, IF(C93 = "Bianco" , H93 + 'Over View'!$B$4, IF(C93 = "Giallo" , H93 + 'Over View'!$B$5, IF(C93 = "Blu" , H93 + 'Over View'!$B$6, IF(C93 = "Verde" , H93 + 'Over View'!$B$7, IF(C93 = "Rosso" , H93 + 'Over View'!$B$8, "Grado Non Inserito") )))))</f>
        <v>45990</v>
      </c>
      <c r="J93" s="4">
        <v>46031.37478349537</v>
      </c>
      <c r="K93" s="6" t="s">
        <v>15</v>
      </c>
      <c r="L93" s="2"/>
    </row>
    <row r="94">
      <c r="A94" s="3">
        <v>93.0</v>
      </c>
      <c r="B94" s="3" t="b">
        <v>0</v>
      </c>
      <c r="C94" s="3" t="s">
        <v>12</v>
      </c>
      <c r="D94" s="2"/>
      <c r="E94" s="3" t="s">
        <v>23</v>
      </c>
      <c r="F94" s="3" t="s">
        <v>28</v>
      </c>
      <c r="G94" s="3" t="s">
        <v>36</v>
      </c>
      <c r="H94" s="4">
        <v>45960.0</v>
      </c>
      <c r="I94" s="5">
        <f>IF(C94 = "Smile", H94 + 'Over View'!$B$3, IF(C94 = "Bianco" , H94 + 'Over View'!$B$4, IF(C94 = "Giallo" , H94 + 'Over View'!$B$5, IF(C94 = "Blu" , H94 + 'Over View'!$B$6, IF(C94 = "Verde" , H94 + 'Over View'!$B$7, IF(C94 = "Rosso" , H94 + 'Over View'!$B$8, "Grado Non Inserito") )))))</f>
        <v>45990</v>
      </c>
      <c r="J94" s="4">
        <v>46031.374791724535</v>
      </c>
      <c r="K94" s="6" t="s">
        <v>15</v>
      </c>
      <c r="L94" s="2"/>
    </row>
    <row r="95">
      <c r="A95" s="3">
        <v>94.0</v>
      </c>
      <c r="B95" s="3" t="b">
        <v>0</v>
      </c>
      <c r="C95" s="3" t="s">
        <v>18</v>
      </c>
      <c r="D95" s="2"/>
      <c r="E95" s="3" t="s">
        <v>19</v>
      </c>
      <c r="F95" s="3" t="s">
        <v>28</v>
      </c>
      <c r="G95" s="3" t="s">
        <v>36</v>
      </c>
      <c r="H95" s="4">
        <v>45960.0</v>
      </c>
      <c r="I95" s="5">
        <f>IF(C95 = "Smile", H95 + 'Over View'!$B$3, IF(C95 = "Bianco" , H95 + 'Over View'!$B$4, IF(C95 = "Giallo" , H95 + 'Over View'!$B$5, IF(C95 = "Blu" , H95 + 'Over View'!$B$6, IF(C95 = "Verde" , H95 + 'Over View'!$B$7, IF(C95 = "Rosso" , H95 + 'Over View'!$B$8, "Grado Non Inserito") )))))</f>
        <v>45990</v>
      </c>
      <c r="J95" s="4">
        <v>46031.374794918986</v>
      </c>
      <c r="K95" s="6" t="s">
        <v>15</v>
      </c>
      <c r="L95" s="2"/>
    </row>
    <row r="96">
      <c r="A96" s="3">
        <v>95.0</v>
      </c>
      <c r="B96" s="3" t="b">
        <v>0</v>
      </c>
      <c r="C96" s="3" t="s">
        <v>18</v>
      </c>
      <c r="D96" s="2"/>
      <c r="E96" s="3" t="s">
        <v>18</v>
      </c>
      <c r="F96" s="3" t="s">
        <v>35</v>
      </c>
      <c r="G96" s="3" t="s">
        <v>36</v>
      </c>
      <c r="H96" s="4">
        <v>45966.56773872685</v>
      </c>
      <c r="I96" s="5">
        <f>IF(C96 = "Smile", H96 + 'Over View'!$B$3, IF(C96 = "Bianco" , H96 + 'Over View'!$B$4, IF(C96 = "Giallo" , H96 + 'Over View'!$B$5, IF(C96 = "Blu" , H96 + 'Over View'!$B$6, IF(C96 = "Verde" , H96 + 'Over View'!$B$7, IF(C96 = "Rosso" , H96 + 'Over View'!$B$8, "Grado Non Inserito") )))))</f>
        <v>45996.56774</v>
      </c>
      <c r="J96" s="4">
        <v>46031.37481119213</v>
      </c>
      <c r="K96" s="6" t="s">
        <v>15</v>
      </c>
      <c r="L96" s="2"/>
    </row>
    <row r="97">
      <c r="A97" s="3">
        <v>96.0</v>
      </c>
      <c r="B97" s="3" t="b">
        <v>0</v>
      </c>
      <c r="C97" s="3" t="s">
        <v>23</v>
      </c>
      <c r="D97" s="2"/>
      <c r="E97" s="3" t="s">
        <v>11</v>
      </c>
      <c r="F97" s="3" t="s">
        <v>38</v>
      </c>
      <c r="G97" s="3" t="s">
        <v>36</v>
      </c>
      <c r="H97" s="4">
        <v>45960.0</v>
      </c>
      <c r="I97" s="5">
        <f>IF(C97 = "Smile", H97 + 'Over View'!$B$3, IF(C97 = "Bianco" , H97 + 'Over View'!$B$4, IF(C97 = "Giallo" , H97 + 'Over View'!$B$5, IF(C97 = "Blu" , H97 + 'Over View'!$B$6, IF(C97 = "Verde" , H97 + 'Over View'!$B$7, IF(C97 = "Rosso" , H97 + 'Over View'!$B$8, "Grado Non Inserito") )))))</f>
        <v>45981</v>
      </c>
      <c r="J97" s="4">
        <v>46031.374815324074</v>
      </c>
      <c r="K97" s="6" t="s">
        <v>15</v>
      </c>
      <c r="L97" s="2"/>
    </row>
    <row r="98">
      <c r="A98" s="3">
        <v>97.0</v>
      </c>
      <c r="B98" s="3" t="b">
        <v>0</v>
      </c>
      <c r="C98" s="3" t="s">
        <v>12</v>
      </c>
      <c r="D98" s="2"/>
      <c r="E98" s="3" t="s">
        <v>11</v>
      </c>
      <c r="F98" s="3" t="s">
        <v>38</v>
      </c>
      <c r="G98" s="3" t="s">
        <v>14</v>
      </c>
      <c r="H98" s="4">
        <v>45966.0</v>
      </c>
      <c r="I98" s="5">
        <f>IF(C98 = "Smile", H98 + 'Over View'!$B$3, IF(C98 = "Bianco" , H98 + 'Over View'!$B$4, IF(C98 = "Giallo" , H98 + 'Over View'!$B$5, IF(C98 = "Blu" , H98 + 'Over View'!$B$6, IF(C98 = "Verde" , H98 + 'Over View'!$B$7, IF(C98 = "Rosso" , H98 + 'Over View'!$B$8, "Grado Non Inserito") )))))</f>
        <v>45996</v>
      </c>
      <c r="J98" s="4">
        <v>46031.37481793981</v>
      </c>
      <c r="K98" s="6" t="s">
        <v>15</v>
      </c>
      <c r="L98" s="2"/>
    </row>
    <row r="99">
      <c r="A99" s="3">
        <v>98.0</v>
      </c>
      <c r="B99" s="3" t="b">
        <v>0</v>
      </c>
      <c r="C99" s="3" t="s">
        <v>18</v>
      </c>
      <c r="D99" s="3">
        <v>1.0</v>
      </c>
      <c r="E99" s="3" t="s">
        <v>19</v>
      </c>
      <c r="F99" s="3" t="s">
        <v>13</v>
      </c>
      <c r="G99" s="3" t="s">
        <v>14</v>
      </c>
      <c r="H99" s="4">
        <v>45966.56856155093</v>
      </c>
      <c r="I99" s="5">
        <f>IF(C99 = "Smile", H99 + 'Over View'!$B$3, IF(C99 = "Bianco" , H99 + 'Over View'!$B$4, IF(C99 = "Giallo" , H99 + 'Over View'!$B$5, IF(C99 = "Blu" , H99 + 'Over View'!$B$6, IF(C99 = "Verde" , H99 + 'Over View'!$B$7, IF(C99 = "Rosso" , H99 + 'Over View'!$B$8, "Grado Non Inserito") )))))</f>
        <v>45996.56856</v>
      </c>
      <c r="J99" s="4">
        <v>46031.374833333335</v>
      </c>
      <c r="K99" s="6" t="s">
        <v>15</v>
      </c>
      <c r="L99" s="2"/>
    </row>
    <row r="100">
      <c r="A100" s="3">
        <v>99.0</v>
      </c>
      <c r="B100" s="3" t="b">
        <v>0</v>
      </c>
      <c r="C100" s="3" t="s">
        <v>18</v>
      </c>
      <c r="D100" s="2"/>
      <c r="E100" s="3" t="s">
        <v>25</v>
      </c>
      <c r="F100" s="3" t="s">
        <v>13</v>
      </c>
      <c r="G100" s="3" t="s">
        <v>36</v>
      </c>
      <c r="H100" s="4">
        <v>45967.53616939815</v>
      </c>
      <c r="I100" s="5">
        <f>IF(C100 = "Smile", H100 + 'Over View'!$B$3, IF(C100 = "Bianco" , H100 + 'Over View'!$B$4, IF(C100 = "Giallo" , H100 + 'Over View'!$B$5, IF(C100 = "Blu" , H100 + 'Over View'!$B$6, IF(C100 = "Verde" , H100 + 'Over View'!$B$7, IF(C100 = "Rosso" , H100 + 'Over View'!$B$8, "Grado Non Inserito") )))))</f>
        <v>45997.53617</v>
      </c>
      <c r="J100" s="4">
        <v>46031.37483959491</v>
      </c>
      <c r="K100" s="6" t="s">
        <v>15</v>
      </c>
      <c r="L100" s="2"/>
    </row>
    <row r="101">
      <c r="A101" s="3">
        <v>100.0</v>
      </c>
      <c r="B101" s="3" t="b">
        <v>0</v>
      </c>
      <c r="C101" s="3" t="s">
        <v>23</v>
      </c>
      <c r="D101" s="2"/>
      <c r="E101" s="3" t="s">
        <v>23</v>
      </c>
      <c r="F101" s="3" t="s">
        <v>30</v>
      </c>
      <c r="G101" s="3" t="s">
        <v>36</v>
      </c>
      <c r="H101" s="4">
        <v>45967.53617790509</v>
      </c>
      <c r="I101" s="5">
        <f>IF(C101 = "Smile", H101 + 'Over View'!$B$3, IF(C101 = "Bianco" , H101 + 'Over View'!$B$4, IF(C101 = "Giallo" , H101 + 'Over View'!$B$5, IF(C101 = "Blu" , H101 + 'Over View'!$B$6, IF(C101 = "Verde" , H101 + 'Over View'!$B$7, IF(C101 = "Rosso" , H101 + 'Over View'!$B$8, "Grado Non Inserito") )))))</f>
        <v>45988.53618</v>
      </c>
      <c r="J101" s="4">
        <v>46031.374845439816</v>
      </c>
      <c r="K101" s="6" t="s">
        <v>15</v>
      </c>
      <c r="L101" s="2"/>
    </row>
    <row r="102">
      <c r="A102" s="3">
        <v>101.0</v>
      </c>
      <c r="B102" s="3" t="b">
        <v>0</v>
      </c>
      <c r="C102" s="3" t="s">
        <v>12</v>
      </c>
      <c r="D102" s="2"/>
      <c r="E102" s="3" t="s">
        <v>27</v>
      </c>
      <c r="F102" s="3" t="s">
        <v>38</v>
      </c>
      <c r="G102" s="3" t="s">
        <v>36</v>
      </c>
      <c r="H102" s="4">
        <v>45967.53618802084</v>
      </c>
      <c r="I102" s="5">
        <f>IF(C102 = "Smile", H102 + 'Over View'!$B$3, IF(C102 = "Bianco" , H102 + 'Over View'!$B$4, IF(C102 = "Giallo" , H102 + 'Over View'!$B$5, IF(C102 = "Blu" , H102 + 'Over View'!$B$6, IF(C102 = "Verde" , H102 + 'Over View'!$B$7, IF(C102 = "Rosso" , H102 + 'Over View'!$B$8, "Grado Non Inserito") )))))</f>
        <v>45997.53619</v>
      </c>
      <c r="J102" s="4">
        <v>46031.37486023148</v>
      </c>
      <c r="K102" s="6" t="s">
        <v>15</v>
      </c>
      <c r="L102" s="2"/>
    </row>
    <row r="103">
      <c r="A103" s="3">
        <v>102.0</v>
      </c>
      <c r="B103" s="3" t="b">
        <v>0</v>
      </c>
      <c r="C103" s="3" t="s">
        <v>16</v>
      </c>
      <c r="D103" s="3">
        <v>3.0</v>
      </c>
      <c r="E103" s="3" t="s">
        <v>12</v>
      </c>
      <c r="F103" s="3" t="s">
        <v>20</v>
      </c>
      <c r="G103" s="3" t="s">
        <v>14</v>
      </c>
      <c r="H103" s="4">
        <v>45980.53032643518</v>
      </c>
      <c r="I103" s="5">
        <f>IF(C103 = "Smile", H103 + 'Over View'!$B$3, IF(C103 = "Bianco" , H103 + 'Over View'!$B$4, IF(C103 = "Giallo" , H103 + 'Over View'!$B$5, IF(C103 = "Blu" , H103 + 'Over View'!$B$6, IF(C103 = "Verde" , H103 + 'Over View'!$B$7, IF(C103 = "Rosso" , H103 + 'Over View'!$B$8, "Grado Non Inserito") )))))</f>
        <v>45994.53033</v>
      </c>
      <c r="J103" s="4">
        <v>46031.37487980324</v>
      </c>
      <c r="K103" s="6" t="s">
        <v>15</v>
      </c>
      <c r="L103" s="2"/>
    </row>
    <row r="104">
      <c r="A104" s="3">
        <v>103.0</v>
      </c>
      <c r="B104" s="3" t="b">
        <v>0</v>
      </c>
      <c r="C104" s="3" t="s">
        <v>16</v>
      </c>
      <c r="D104" s="3">
        <v>5.0</v>
      </c>
      <c r="E104" s="3" t="s">
        <v>29</v>
      </c>
      <c r="F104" s="3" t="s">
        <v>28</v>
      </c>
      <c r="G104" s="3" t="s">
        <v>14</v>
      </c>
      <c r="H104" s="4">
        <v>45980.53078119213</v>
      </c>
      <c r="I104" s="5">
        <f>IF(C104 = "Smile", H104 + 'Over View'!$B$3, IF(C104 = "Bianco" , H104 + 'Over View'!$B$4, IF(C104 = "Giallo" , H104 + 'Over View'!$B$5, IF(C104 = "Blu" , H104 + 'Over View'!$B$6, IF(C104 = "Verde" , H104 + 'Over View'!$B$7, IF(C104 = "Rosso" , H104 + 'Over View'!$B$8, "Grado Non Inserito") )))))</f>
        <v>45994.53078</v>
      </c>
      <c r="J104" s="4">
        <v>46031.374891886575</v>
      </c>
      <c r="K104" s="6" t="s">
        <v>15</v>
      </c>
      <c r="L104" s="2"/>
    </row>
    <row r="105">
      <c r="A105" s="3">
        <v>104.0</v>
      </c>
      <c r="B105" s="3" t="b">
        <v>0</v>
      </c>
      <c r="C105" s="3" t="s">
        <v>12</v>
      </c>
      <c r="D105" s="3">
        <v>9.0</v>
      </c>
      <c r="E105" s="3" t="s">
        <v>19</v>
      </c>
      <c r="F105" s="3" t="s">
        <v>35</v>
      </c>
      <c r="G105" s="3" t="s">
        <v>36</v>
      </c>
      <c r="H105" s="4">
        <v>45994.616607557866</v>
      </c>
      <c r="I105" s="5">
        <f>IF(C105 = "Smile", H105 + 'Over View'!$B$3, IF(C105 = "Bianco" , H105 + 'Over View'!$B$4, IF(C105 = "Giallo" , H105 + 'Over View'!$B$5, IF(C105 = "Blu" , H105 + 'Over View'!$B$6, IF(C105 = "Verde" , H105 + 'Over View'!$B$7, IF(C105 = "Rosso" , H105 + 'Over View'!$B$8, "Grado Non Inserito") )))))</f>
        <v>46024.61661</v>
      </c>
      <c r="J105" s="4">
        <v>46031.37490260416</v>
      </c>
      <c r="K105" s="6" t="s">
        <v>15</v>
      </c>
      <c r="L105" s="2"/>
    </row>
    <row r="106">
      <c r="A106" s="3">
        <v>105.0</v>
      </c>
      <c r="B106" s="3" t="b">
        <v>0</v>
      </c>
      <c r="C106" s="3" t="s">
        <v>18</v>
      </c>
      <c r="D106" s="3">
        <v>10.0</v>
      </c>
      <c r="E106" s="3" t="s">
        <v>18</v>
      </c>
      <c r="F106" s="3" t="s">
        <v>33</v>
      </c>
      <c r="G106" s="3" t="s">
        <v>36</v>
      </c>
      <c r="H106" s="4">
        <v>45994.616606724536</v>
      </c>
      <c r="I106" s="5">
        <f>IF(C106 = "Smile", H106 + 'Over View'!$B$3, IF(C106 = "Bianco" , H106 + 'Over View'!$B$4, IF(C106 = "Giallo" , H106 + 'Over View'!$B$5, IF(C106 = "Blu" , H106 + 'Over View'!$B$6, IF(C106 = "Verde" , H106 + 'Over View'!$B$7, IF(C106 = "Rosso" , H106 + 'Over View'!$B$8, "Grado Non Inserito") )))))</f>
        <v>46024.61661</v>
      </c>
      <c r="J106" s="4">
        <v>46031.37490614584</v>
      </c>
      <c r="K106" s="6" t="s">
        <v>15</v>
      </c>
      <c r="L106" s="2"/>
    </row>
    <row r="107">
      <c r="A107" s="3">
        <v>106.0</v>
      </c>
      <c r="B107" s="3" t="b">
        <v>0</v>
      </c>
      <c r="C107" s="3" t="s">
        <v>18</v>
      </c>
      <c r="D107" s="3">
        <v>5.0</v>
      </c>
      <c r="E107" s="3" t="s">
        <v>11</v>
      </c>
      <c r="F107" s="3" t="s">
        <v>35</v>
      </c>
      <c r="G107" s="3" t="s">
        <v>36</v>
      </c>
      <c r="H107" s="4">
        <v>45994.61660674769</v>
      </c>
      <c r="I107" s="5">
        <f>IF(C107 = "Smile", H107 + 'Over View'!$B$3, IF(C107 = "Bianco" , H107 + 'Over View'!$B$4, IF(C107 = "Giallo" , H107 + 'Over View'!$B$5, IF(C107 = "Blu" , H107 + 'Over View'!$B$6, IF(C107 = "Verde" , H107 + 'Over View'!$B$7, IF(C107 = "Rosso" , H107 + 'Over View'!$B$8, "Grado Non Inserito") )))))</f>
        <v>46024.61661</v>
      </c>
      <c r="J107" s="4">
        <v>46031.37493092593</v>
      </c>
      <c r="K107" s="6" t="s">
        <v>15</v>
      </c>
      <c r="L107" s="2"/>
    </row>
    <row r="108">
      <c r="A108" s="3">
        <v>107.0</v>
      </c>
      <c r="B108" s="3" t="b">
        <v>0</v>
      </c>
      <c r="C108" s="3" t="s">
        <v>16</v>
      </c>
      <c r="D108" s="3">
        <v>10.0</v>
      </c>
      <c r="E108" s="3" t="s">
        <v>12</v>
      </c>
      <c r="F108" s="3" t="s">
        <v>28</v>
      </c>
      <c r="G108" s="3" t="s">
        <v>14</v>
      </c>
      <c r="H108" s="4">
        <v>46001.46550813658</v>
      </c>
      <c r="I108" s="5">
        <f>IF(C108 = "Smile", H108 + 'Over View'!$B$3, IF(C108 = "Bianco" , H108 + 'Over View'!$B$4, IF(C108 = "Giallo" , H108 + 'Over View'!$B$5, IF(C108 = "Blu" , H108 + 'Over View'!$B$6, IF(C108 = "Verde" , H108 + 'Over View'!$B$7, IF(C108 = "Rosso" , H108 + 'Over View'!$B$8, "Grado Non Inserito") )))))</f>
        <v>46015.46551</v>
      </c>
      <c r="J108" s="4">
        <v>46031.37493443287</v>
      </c>
      <c r="K108" s="6" t="s">
        <v>15</v>
      </c>
      <c r="L108" s="2"/>
    </row>
    <row r="109">
      <c r="A109" s="3">
        <v>108.0</v>
      </c>
      <c r="B109" s="3" t="b">
        <v>0</v>
      </c>
      <c r="C109" s="3" t="s">
        <v>16</v>
      </c>
      <c r="D109" s="3">
        <v>9.0</v>
      </c>
      <c r="E109" s="3" t="s">
        <v>19</v>
      </c>
      <c r="F109" s="3" t="s">
        <v>28</v>
      </c>
      <c r="G109" s="3" t="s">
        <v>14</v>
      </c>
      <c r="H109" s="4">
        <v>46001.46685012731</v>
      </c>
      <c r="I109" s="5">
        <f>IF(C109 = "Smile", H109 + 'Over View'!$B$3, IF(C109 = "Bianco" , H109 + 'Over View'!$B$4, IF(C109 = "Giallo" , H109 + 'Over View'!$B$5, IF(C109 = "Blu" , H109 + 'Over View'!$B$6, IF(C109 = "Verde" , H109 + 'Over View'!$B$7, IF(C109 = "Rosso" , H109 + 'Over View'!$B$8, "Grado Non Inserito") )))))</f>
        <v>46015.46685</v>
      </c>
      <c r="J109" s="4">
        <v>46031.374922731484</v>
      </c>
      <c r="K109" s="6" t="s">
        <v>15</v>
      </c>
      <c r="L109" s="2"/>
    </row>
    <row r="110">
      <c r="A110" s="3">
        <v>109.0</v>
      </c>
      <c r="B110" s="3" t="b">
        <v>0</v>
      </c>
      <c r="C110" s="3" t="s">
        <v>21</v>
      </c>
      <c r="D110" s="3">
        <v>2.0</v>
      </c>
      <c r="E110" s="3" t="s">
        <v>11</v>
      </c>
      <c r="F110" s="3" t="s">
        <v>38</v>
      </c>
      <c r="G110" s="3" t="s">
        <v>14</v>
      </c>
      <c r="H110" s="4">
        <v>46001.49636534722</v>
      </c>
      <c r="I110" s="5">
        <f>IF(C110 = "Smile", H110 + 'Over View'!$B$3, IF(C110 = "Bianco" , H110 + 'Over View'!$B$4, IF(C110 = "Giallo" , H110 + 'Over View'!$B$5, IF(C110 = "Blu" , H110 + 'Over View'!$B$6, IF(C110 = "Verde" , H110 + 'Over View'!$B$7, IF(C110 = "Rosso" , H110 + 'Over View'!$B$8, "Grado Non Inserito") )))))</f>
        <v>46015.49637</v>
      </c>
      <c r="J110" s="4">
        <v>46031.37496221065</v>
      </c>
      <c r="K110" s="6" t="s">
        <v>15</v>
      </c>
      <c r="L110" s="2"/>
    </row>
    <row r="111">
      <c r="A111" s="3">
        <v>110.0</v>
      </c>
      <c r="B111" s="3" t="b">
        <v>1</v>
      </c>
      <c r="C111" s="3" t="s">
        <v>16</v>
      </c>
      <c r="D111" s="3">
        <v>1.0</v>
      </c>
      <c r="E111" s="3" t="s">
        <v>12</v>
      </c>
      <c r="F111" s="3" t="s">
        <v>13</v>
      </c>
      <c r="G111" s="8"/>
      <c r="H111" s="4">
        <v>46029.37498011574</v>
      </c>
      <c r="I111" s="5">
        <f>IF(C111 = "Smile", H111 + 'Over View'!$B$3, IF(C111 = "Bianco" , H111 + 'Over View'!$B$4, IF(C111 = "Giallo" , H111 + 'Over View'!$B$5, IF(C111 = "Blu" , H111 + 'Over View'!$B$6, IF(C111 = "Verde" , H111 + 'Over View'!$B$7, IF(C111 = "Rosso" , H111 + 'Over View'!$B$8, "Grado Non Inserito") )))))</f>
        <v>46043.37498</v>
      </c>
      <c r="J111" s="4"/>
      <c r="K111" s="7"/>
      <c r="L111" s="2"/>
    </row>
    <row r="112">
      <c r="A112" s="3">
        <v>111.0</v>
      </c>
      <c r="B112" s="3" t="b">
        <v>1</v>
      </c>
      <c r="C112" s="3" t="s">
        <v>16</v>
      </c>
      <c r="D112" s="3">
        <v>2.0</v>
      </c>
      <c r="E112" s="3" t="s">
        <v>12</v>
      </c>
      <c r="F112" s="3" t="s">
        <v>20</v>
      </c>
      <c r="G112" s="8"/>
      <c r="H112" s="4">
        <v>46029.37498011574</v>
      </c>
      <c r="I112" s="5">
        <f>IF(C112 = "Smile", H112 + 'Over View'!$B$3, IF(C112 = "Bianco" , H112 + 'Over View'!$B$4, IF(C112 = "Giallo" , H112 + 'Over View'!$B$5, IF(C112 = "Blu" , H112 + 'Over View'!$B$6, IF(C112 = "Verde" , H112 + 'Over View'!$B$7, IF(C112 = "Rosso" , H112 + 'Over View'!$B$8, "Grado Non Inserito") )))))</f>
        <v>46043.37498</v>
      </c>
      <c r="J112" s="4"/>
      <c r="K112" s="7"/>
      <c r="L112" s="2"/>
    </row>
    <row r="113">
      <c r="A113" s="3">
        <v>112.0</v>
      </c>
      <c r="B113" s="3" t="b">
        <v>1</v>
      </c>
      <c r="C113" s="3" t="s">
        <v>16</v>
      </c>
      <c r="D113" s="3">
        <v>3.0</v>
      </c>
      <c r="E113" s="3" t="s">
        <v>27</v>
      </c>
      <c r="F113" s="3" t="s">
        <v>26</v>
      </c>
      <c r="G113" s="8"/>
      <c r="H113" s="4">
        <v>46029.37498011574</v>
      </c>
      <c r="I113" s="5">
        <f>IF(C113 = "Smile", H113 + 'Over View'!$B$3, IF(C113 = "Bianco" , H113 + 'Over View'!$B$4, IF(C113 = "Giallo" , H113 + 'Over View'!$B$5, IF(C113 = "Blu" , H113 + 'Over View'!$B$6, IF(C113 = "Verde" , H113 + 'Over View'!$B$7, IF(C113 = "Rosso" , H113 + 'Over View'!$B$8, "Grado Non Inserito") )))))</f>
        <v>46043.37498</v>
      </c>
      <c r="J113" s="4"/>
      <c r="K113" s="7"/>
      <c r="L113" s="2"/>
    </row>
    <row r="114">
      <c r="A114" s="3">
        <v>113.0</v>
      </c>
      <c r="B114" s="3" t="b">
        <v>1</v>
      </c>
      <c r="C114" s="3" t="s">
        <v>16</v>
      </c>
      <c r="D114" s="3">
        <v>4.0</v>
      </c>
      <c r="E114" s="3" t="s">
        <v>11</v>
      </c>
      <c r="F114" s="3" t="s">
        <v>26</v>
      </c>
      <c r="G114" s="8"/>
      <c r="H114" s="4">
        <v>46029.37498011574</v>
      </c>
      <c r="I114" s="5">
        <f>IF(C114 = "Smile", H114 + 'Over View'!$B$3, IF(C114 = "Bianco" , H114 + 'Over View'!$B$4, IF(C114 = "Giallo" , H114 + 'Over View'!$B$5, IF(C114 = "Blu" , H114 + 'Over View'!$B$6, IF(C114 = "Verde" , H114 + 'Over View'!$B$7, IF(C114 = "Rosso" , H114 + 'Over View'!$B$8, "Grado Non Inserito") )))))</f>
        <v>46043.37498</v>
      </c>
      <c r="J114" s="4"/>
      <c r="K114" s="7"/>
      <c r="L114" s="2"/>
    </row>
    <row r="115">
      <c r="A115" s="3">
        <v>114.0</v>
      </c>
      <c r="B115" s="3" t="b">
        <v>1</v>
      </c>
      <c r="C115" s="3" t="s">
        <v>16</v>
      </c>
      <c r="D115" s="3">
        <v>5.0</v>
      </c>
      <c r="E115" s="3" t="s">
        <v>19</v>
      </c>
      <c r="F115" s="3" t="s">
        <v>28</v>
      </c>
      <c r="G115" s="8"/>
      <c r="H115" s="4">
        <v>46029.37498011574</v>
      </c>
      <c r="I115" s="5">
        <f>IF(C115 = "Smile", H115 + 'Over View'!$B$3, IF(C115 = "Bianco" , H115 + 'Over View'!$B$4, IF(C115 = "Giallo" , H115 + 'Over View'!$B$5, IF(C115 = "Blu" , H115 + 'Over View'!$B$6, IF(C115 = "Verde" , H115 + 'Over View'!$B$7, IF(C115 = "Rosso" , H115 + 'Over View'!$B$8, "Grado Non Inserito") )))))</f>
        <v>46043.37498</v>
      </c>
      <c r="J115" s="4"/>
      <c r="K115" s="7"/>
      <c r="L115" s="2"/>
    </row>
    <row r="116">
      <c r="A116" s="3">
        <v>115.0</v>
      </c>
      <c r="B116" s="3" t="b">
        <v>1</v>
      </c>
      <c r="C116" s="3" t="s">
        <v>16</v>
      </c>
      <c r="D116" s="3">
        <v>6.0</v>
      </c>
      <c r="E116" s="3" t="s">
        <v>11</v>
      </c>
      <c r="F116" s="3" t="s">
        <v>32</v>
      </c>
      <c r="G116" s="8"/>
      <c r="H116" s="4">
        <v>46029.37498011574</v>
      </c>
      <c r="I116" s="5">
        <f>IF(C116 = "Smile", H116 + 'Over View'!$B$3, IF(C116 = "Bianco" , H116 + 'Over View'!$B$4, IF(C116 = "Giallo" , H116 + 'Over View'!$B$5, IF(C116 = "Blu" , H116 + 'Over View'!$B$6, IF(C116 = "Verde" , H116 + 'Over View'!$B$7, IF(C116 = "Rosso" , H116 + 'Over View'!$B$8, "Grado Non Inserito") )))))</f>
        <v>46043.37498</v>
      </c>
      <c r="J116" s="4"/>
      <c r="K116" s="7"/>
      <c r="L116" s="2"/>
    </row>
    <row r="117">
      <c r="A117" s="3">
        <v>116.0</v>
      </c>
      <c r="B117" s="3" t="b">
        <v>1</v>
      </c>
      <c r="C117" s="3" t="s">
        <v>16</v>
      </c>
      <c r="D117" s="3">
        <v>7.0</v>
      </c>
      <c r="E117" s="3" t="s">
        <v>23</v>
      </c>
      <c r="F117" s="3" t="s">
        <v>33</v>
      </c>
      <c r="G117" s="8"/>
      <c r="H117" s="4">
        <v>46029.37498011574</v>
      </c>
      <c r="I117" s="5">
        <f>IF(C117 = "Smile", H117 + 'Over View'!$B$3, IF(C117 = "Bianco" , H117 + 'Over View'!$B$4, IF(C117 = "Giallo" , H117 + 'Over View'!$B$5, IF(C117 = "Blu" , H117 + 'Over View'!$B$6, IF(C117 = "Verde" , H117 + 'Over View'!$B$7, IF(C117 = "Rosso" , H117 + 'Over View'!$B$8, "Grado Non Inserito") )))))</f>
        <v>46043.37498</v>
      </c>
      <c r="J117" s="4"/>
      <c r="K117" s="7"/>
      <c r="L117" s="2"/>
    </row>
    <row r="118">
      <c r="A118" s="3">
        <v>117.0</v>
      </c>
      <c r="B118" s="3" t="b">
        <v>1</v>
      </c>
      <c r="C118" s="3" t="s">
        <v>16</v>
      </c>
      <c r="D118" s="3">
        <v>8.0</v>
      </c>
      <c r="E118" s="3" t="s">
        <v>27</v>
      </c>
      <c r="F118" s="3" t="s">
        <v>35</v>
      </c>
      <c r="G118" s="8"/>
      <c r="H118" s="4">
        <v>46029.37498011574</v>
      </c>
      <c r="I118" s="5">
        <f>IF(C118 = "Smile", H118 + 'Over View'!$B$3, IF(C118 = "Bianco" , H118 + 'Over View'!$B$4, IF(C118 = "Giallo" , H118 + 'Over View'!$B$5, IF(C118 = "Blu" , H118 + 'Over View'!$B$6, IF(C118 = "Verde" , H118 + 'Over View'!$B$7, IF(C118 = "Rosso" , H118 + 'Over View'!$B$8, "Grado Non Inserito") )))))</f>
        <v>46043.37498</v>
      </c>
      <c r="J118" s="4"/>
      <c r="K118" s="7"/>
      <c r="L118" s="2"/>
    </row>
    <row r="119">
      <c r="A119" s="3">
        <v>118.0</v>
      </c>
      <c r="B119" s="3" t="b">
        <v>1</v>
      </c>
      <c r="C119" s="3" t="s">
        <v>21</v>
      </c>
      <c r="D119" s="3">
        <v>1.0</v>
      </c>
      <c r="E119" s="3" t="s">
        <v>18</v>
      </c>
      <c r="F119" s="3" t="s">
        <v>13</v>
      </c>
      <c r="G119" s="8"/>
      <c r="H119" s="4">
        <v>46029.37498011574</v>
      </c>
      <c r="I119" s="5">
        <f>IF(C119 = "Smile", H119 + 'Over View'!$B$3, IF(C119 = "Bianco" , H119 + 'Over View'!$B$4, IF(C119 = "Giallo" , H119 + 'Over View'!$B$5, IF(C119 = "Blu" , H119 + 'Over View'!$B$6, IF(C119 = "Verde" , H119 + 'Over View'!$B$7, IF(C119 = "Rosso" , H119 + 'Over View'!$B$8, "Grado Non Inserito") )))))</f>
        <v>46043.37498</v>
      </c>
      <c r="J119" s="4"/>
      <c r="K119" s="7"/>
      <c r="L119" s="2"/>
    </row>
    <row r="120">
      <c r="A120" s="3">
        <v>119.0</v>
      </c>
      <c r="B120" s="3" t="b">
        <v>1</v>
      </c>
      <c r="C120" s="3" t="s">
        <v>21</v>
      </c>
      <c r="D120" s="3">
        <v>2.0</v>
      </c>
      <c r="E120" s="3" t="s">
        <v>19</v>
      </c>
      <c r="F120" s="3" t="s">
        <v>20</v>
      </c>
      <c r="G120" s="8"/>
      <c r="H120" s="4">
        <v>46029.37498011574</v>
      </c>
      <c r="I120" s="5">
        <f>IF(C120 = "Smile", H120 + 'Over View'!$B$3, IF(C120 = "Bianco" , H120 + 'Over View'!$B$4, IF(C120 = "Giallo" , H120 + 'Over View'!$B$5, IF(C120 = "Blu" , H120 + 'Over View'!$B$6, IF(C120 = "Verde" , H120 + 'Over View'!$B$7, IF(C120 = "Rosso" , H120 + 'Over View'!$B$8, "Grado Non Inserito") )))))</f>
        <v>46043.37498</v>
      </c>
      <c r="J120" s="4"/>
      <c r="K120" s="7"/>
      <c r="L120" s="2"/>
    </row>
    <row r="121">
      <c r="A121" s="3">
        <v>120.0</v>
      </c>
      <c r="B121" s="3" t="b">
        <v>1</v>
      </c>
      <c r="C121" s="3" t="s">
        <v>21</v>
      </c>
      <c r="D121" s="3">
        <v>3.0</v>
      </c>
      <c r="E121" s="3" t="s">
        <v>11</v>
      </c>
      <c r="F121" s="3" t="s">
        <v>20</v>
      </c>
      <c r="G121" s="8"/>
      <c r="H121" s="4">
        <v>46029.37498011574</v>
      </c>
      <c r="I121" s="5">
        <f>IF(C121 = "Smile", H121 + 'Over View'!$B$3, IF(C121 = "Bianco" , H121 + 'Over View'!$B$4, IF(C121 = "Giallo" , H121 + 'Over View'!$B$5, IF(C121 = "Blu" , H121 + 'Over View'!$B$6, IF(C121 = "Verde" , H121 + 'Over View'!$B$7, IF(C121 = "Rosso" , H121 + 'Over View'!$B$8, "Grado Non Inserito") )))))</f>
        <v>46043.37498</v>
      </c>
      <c r="J121" s="4"/>
      <c r="K121" s="7"/>
      <c r="L121" s="2"/>
    </row>
    <row r="122">
      <c r="A122" s="3">
        <v>121.0</v>
      </c>
      <c r="B122" s="3" t="b">
        <v>1</v>
      </c>
      <c r="C122" s="3" t="s">
        <v>21</v>
      </c>
      <c r="D122" s="3">
        <v>4.0</v>
      </c>
      <c r="E122" s="3" t="s">
        <v>29</v>
      </c>
      <c r="F122" s="3" t="s">
        <v>28</v>
      </c>
      <c r="G122" s="8"/>
      <c r="H122" s="4">
        <v>46029.37498011574</v>
      </c>
      <c r="I122" s="5">
        <f>IF(C122 = "Smile", H122 + 'Over View'!$B$3, IF(C122 = "Bianco" , H122 + 'Over View'!$B$4, IF(C122 = "Giallo" , H122 + 'Over View'!$B$5, IF(C122 = "Blu" , H122 + 'Over View'!$B$6, IF(C122 = "Verde" , H122 + 'Over View'!$B$7, IF(C122 = "Rosso" , H122 + 'Over View'!$B$8, "Grado Non Inserito") )))))</f>
        <v>46043.37498</v>
      </c>
      <c r="J122" s="4"/>
      <c r="K122" s="7"/>
      <c r="L122" s="2"/>
    </row>
    <row r="123">
      <c r="A123" s="3">
        <v>122.0</v>
      </c>
      <c r="B123" s="3" t="b">
        <v>1</v>
      </c>
      <c r="C123" s="3" t="s">
        <v>21</v>
      </c>
      <c r="D123" s="3">
        <v>5.0</v>
      </c>
      <c r="E123" s="3" t="s">
        <v>19</v>
      </c>
      <c r="F123" s="3" t="s">
        <v>30</v>
      </c>
      <c r="G123" s="8"/>
      <c r="H123" s="4">
        <v>46029.37498011574</v>
      </c>
      <c r="I123" s="5">
        <f>IF(C123 = "Smile", H123 + 'Over View'!$B$3, IF(C123 = "Bianco" , H123 + 'Over View'!$B$4, IF(C123 = "Giallo" , H123 + 'Over View'!$B$5, IF(C123 = "Blu" , H123 + 'Over View'!$B$6, IF(C123 = "Verde" , H123 + 'Over View'!$B$7, IF(C123 = "Rosso" , H123 + 'Over View'!$B$8, "Grado Non Inserito") )))))</f>
        <v>46043.37498</v>
      </c>
      <c r="J123" s="4"/>
      <c r="K123" s="7"/>
      <c r="L123" s="2"/>
    </row>
    <row r="124">
      <c r="A124" s="3">
        <v>123.0</v>
      </c>
      <c r="B124" s="3" t="b">
        <v>1</v>
      </c>
      <c r="C124" s="3" t="s">
        <v>21</v>
      </c>
      <c r="D124" s="3">
        <v>6.0</v>
      </c>
      <c r="E124" s="3" t="s">
        <v>12</v>
      </c>
      <c r="F124" s="3" t="s">
        <v>30</v>
      </c>
      <c r="G124" s="8"/>
      <c r="H124" s="4">
        <v>46029.37498011574</v>
      </c>
      <c r="I124" s="5">
        <f>IF(C124 = "Smile", H124 + 'Over View'!$B$3, IF(C124 = "Bianco" , H124 + 'Over View'!$B$4, IF(C124 = "Giallo" , H124 + 'Over View'!$B$5, IF(C124 = "Blu" , H124 + 'Over View'!$B$6, IF(C124 = "Verde" , H124 + 'Over View'!$B$7, IF(C124 = "Rosso" , H124 + 'Over View'!$B$8, "Grado Non Inserito") )))))</f>
        <v>46043.37498</v>
      </c>
      <c r="J124" s="4"/>
      <c r="K124" s="7"/>
      <c r="L124" s="2"/>
    </row>
    <row r="125">
      <c r="A125" s="3">
        <v>124.0</v>
      </c>
      <c r="B125" s="3" t="b">
        <v>1</v>
      </c>
      <c r="C125" s="3" t="s">
        <v>21</v>
      </c>
      <c r="D125" s="3">
        <v>7.0</v>
      </c>
      <c r="E125" s="3" t="s">
        <v>23</v>
      </c>
      <c r="F125" s="3" t="s">
        <v>32</v>
      </c>
      <c r="G125" s="8"/>
      <c r="H125" s="4">
        <v>46029.37498011574</v>
      </c>
      <c r="I125" s="5">
        <f>IF(C125 = "Smile", H125 + 'Over View'!$B$3, IF(C125 = "Bianco" , H125 + 'Over View'!$B$4, IF(C125 = "Giallo" , H125 + 'Over View'!$B$5, IF(C125 = "Blu" , H125 + 'Over View'!$B$6, IF(C125 = "Verde" , H125 + 'Over View'!$B$7, IF(C125 = "Rosso" , H125 + 'Over View'!$B$8, "Grado Non Inserito") )))))</f>
        <v>46043.37498</v>
      </c>
      <c r="J125" s="4"/>
      <c r="K125" s="7"/>
      <c r="L125" s="2"/>
    </row>
    <row r="126">
      <c r="A126" s="3">
        <v>125.0</v>
      </c>
      <c r="B126" s="3" t="b">
        <v>1</v>
      </c>
      <c r="C126" s="3" t="s">
        <v>21</v>
      </c>
      <c r="D126" s="3">
        <v>8.0</v>
      </c>
      <c r="E126" s="3" t="s">
        <v>12</v>
      </c>
      <c r="F126" s="3" t="s">
        <v>35</v>
      </c>
      <c r="G126" s="8"/>
      <c r="H126" s="4">
        <v>46029.37498011574</v>
      </c>
      <c r="I126" s="5">
        <f>IF(C126 = "Smile", H126 + 'Over View'!$B$3, IF(C126 = "Bianco" , H126 + 'Over View'!$B$4, IF(C126 = "Giallo" , H126 + 'Over View'!$B$5, IF(C126 = "Blu" , H126 + 'Over View'!$B$6, IF(C126 = "Verde" , H126 + 'Over View'!$B$7, IF(C126 = "Rosso" , H126 + 'Over View'!$B$8, "Grado Non Inserito") )))))</f>
        <v>46043.37498</v>
      </c>
      <c r="J126" s="4"/>
      <c r="K126" s="7"/>
      <c r="L126" s="2"/>
    </row>
    <row r="127">
      <c r="A127" s="3">
        <v>126.0</v>
      </c>
      <c r="B127" s="3" t="b">
        <v>1</v>
      </c>
      <c r="C127" s="3" t="s">
        <v>18</v>
      </c>
      <c r="D127" s="3">
        <v>1.0</v>
      </c>
      <c r="E127" s="3" t="s">
        <v>25</v>
      </c>
      <c r="F127" s="3" t="s">
        <v>20</v>
      </c>
      <c r="G127" s="8"/>
      <c r="H127" s="4">
        <v>46029.37498011574</v>
      </c>
      <c r="I127" s="5">
        <f>IF(C129 = "Smile", H127 + 'Over View'!$B$3, IF(C129 = "Bianco" , H127 + 'Over View'!$B$4, IF(C129 = "Giallo" , H127 + 'Over View'!$B$5, IF(C129 = "Blu" , H127 + 'Over View'!$B$6, IF(C129 = "Verde" , H127 + 'Over View'!$B$7, IF(C129 = "Rosso" , H127 + 'Over View'!$B$8, "Grado Non Inserito") )))))</f>
        <v>46059.37498</v>
      </c>
      <c r="J127" s="4"/>
      <c r="K127" s="7"/>
      <c r="L127" s="2"/>
    </row>
    <row r="128">
      <c r="A128" s="3">
        <v>127.0</v>
      </c>
      <c r="B128" s="3" t="b">
        <v>1</v>
      </c>
      <c r="C128" s="3" t="s">
        <v>18</v>
      </c>
      <c r="D128" s="3">
        <v>2.0</v>
      </c>
      <c r="E128" s="3" t="s">
        <v>31</v>
      </c>
      <c r="F128" s="3" t="s">
        <v>26</v>
      </c>
      <c r="G128" s="8"/>
      <c r="H128" s="4">
        <v>46029.37498011574</v>
      </c>
      <c r="I128" s="5">
        <f>IF(C128 = "Smile", H128 + 'Over View'!$B$3, IF(C128 = "Bianco" , H128 + 'Over View'!$B$4, IF(C128 = "Giallo" , H128 + 'Over View'!$B$5, IF(C128 = "Blu" , H128 + 'Over View'!$B$6, IF(C128 = "Verde" , H128 + 'Over View'!$B$7, IF(C128 = "Rosso" , H128 + 'Over View'!$B$8, "Grado Non Inserito") )))))</f>
        <v>46059.37498</v>
      </c>
      <c r="J128" s="4"/>
      <c r="K128" s="7"/>
      <c r="L128" s="2"/>
    </row>
    <row r="129">
      <c r="A129" s="3">
        <v>128.0</v>
      </c>
      <c r="B129" s="3" t="b">
        <v>1</v>
      </c>
      <c r="C129" s="3" t="s">
        <v>18</v>
      </c>
      <c r="D129" s="3">
        <v>3.0</v>
      </c>
      <c r="E129" s="3" t="s">
        <v>31</v>
      </c>
      <c r="F129" s="3" t="s">
        <v>28</v>
      </c>
      <c r="G129" s="8"/>
      <c r="H129" s="4">
        <v>46029.37498011574</v>
      </c>
      <c r="I129" s="5">
        <f>IF(C129 = "Smile", H129 + 'Over View'!$B$3, IF(C129 = "Bianco" , H129 + 'Over View'!$B$4, IF(C129 = "Giallo" , H129 + 'Over View'!$B$5, IF(C129 = "Blu" , H129 + 'Over View'!$B$6, IF(C129 = "Verde" , H129 + 'Over View'!$B$7, IF(C129 = "Rosso" , H129 + 'Over View'!$B$8, "Grado Non Inserito") )))))</f>
        <v>46059.37498</v>
      </c>
      <c r="J129" s="4"/>
      <c r="K129" s="7"/>
      <c r="L129" s="2"/>
    </row>
    <row r="130">
      <c r="A130" s="3">
        <v>129.0</v>
      </c>
      <c r="B130" s="3" t="b">
        <v>1</v>
      </c>
      <c r="C130" s="3" t="s">
        <v>18</v>
      </c>
      <c r="D130" s="3">
        <v>4.0</v>
      </c>
      <c r="E130" s="3" t="s">
        <v>18</v>
      </c>
      <c r="F130" s="3" t="s">
        <v>30</v>
      </c>
      <c r="G130" s="8"/>
      <c r="H130" s="4">
        <v>46029.37498011574</v>
      </c>
      <c r="I130" s="5">
        <f>IF(C130 = "Smile", H130 + 'Over View'!$B$3, IF(C130 = "Bianco" , H130 + 'Over View'!$B$4, IF(C130 = "Giallo" , H130 + 'Over View'!$B$5, IF(C130 = "Blu" , H130 + 'Over View'!$B$6, IF(C130 = "Verde" , H130 + 'Over View'!$B$7, IF(C130 = "Rosso" , H130 + 'Over View'!$B$8, "Grado Non Inserito") )))))</f>
        <v>46059.37498</v>
      </c>
      <c r="J130" s="4"/>
      <c r="K130" s="7"/>
      <c r="L130" s="2"/>
    </row>
    <row r="131">
      <c r="A131" s="3">
        <v>130.0</v>
      </c>
      <c r="B131" s="3" t="b">
        <v>1</v>
      </c>
      <c r="C131" s="3" t="s">
        <v>18</v>
      </c>
      <c r="D131" s="3">
        <v>5.0</v>
      </c>
      <c r="E131" s="3" t="s">
        <v>19</v>
      </c>
      <c r="F131" s="3" t="s">
        <v>32</v>
      </c>
      <c r="G131" s="8"/>
      <c r="H131" s="4">
        <v>46029.37498011574</v>
      </c>
      <c r="I131" s="5">
        <f>IF(C131 = "Smile", H131 + 'Over View'!$B$3, IF(C131 = "Bianco" , H131 + 'Over View'!$B$4, IF(C131 = "Giallo" , H131 + 'Over View'!$B$5, IF(C131 = "Blu" , H131 + 'Over View'!$B$6, IF(C131 = "Verde" , H131 + 'Over View'!$B$7, IF(C131 = "Rosso" , H131 + 'Over View'!$B$8, "Grado Non Inserito") )))))</f>
        <v>46059.37498</v>
      </c>
      <c r="J131" s="4"/>
      <c r="K131" s="7"/>
      <c r="L131" s="2"/>
    </row>
    <row r="132">
      <c r="A132" s="3">
        <v>131.0</v>
      </c>
      <c r="B132" s="3" t="b">
        <v>1</v>
      </c>
      <c r="C132" s="3" t="s">
        <v>18</v>
      </c>
      <c r="D132" s="3">
        <v>6.0</v>
      </c>
      <c r="E132" s="3" t="s">
        <v>11</v>
      </c>
      <c r="F132" s="3" t="s">
        <v>35</v>
      </c>
      <c r="G132" s="8"/>
      <c r="H132" s="4">
        <v>46029.37498011574</v>
      </c>
      <c r="I132" s="5">
        <f>IF(C132 = "Smile", H132 + 'Over View'!$B$3, IF(C132 = "Bianco" , H132 + 'Over View'!$B$4, IF(C132 = "Giallo" , H132 + 'Over View'!$B$5, IF(C132 = "Blu" , H132 + 'Over View'!$B$6, IF(C132 = "Verde" , H132 + 'Over View'!$B$7, IF(C132 = "Rosso" , H132 + 'Over View'!$B$8, "Grado Non Inserito") )))))</f>
        <v>46059.37498</v>
      </c>
      <c r="J132" s="4"/>
      <c r="K132" s="7"/>
      <c r="L132" s="2"/>
    </row>
    <row r="133">
      <c r="A133" s="3">
        <v>132.0</v>
      </c>
      <c r="B133" s="3" t="b">
        <v>1</v>
      </c>
      <c r="C133" s="3" t="s">
        <v>18</v>
      </c>
      <c r="D133" s="3">
        <v>7.0</v>
      </c>
      <c r="E133" s="3" t="s">
        <v>19</v>
      </c>
      <c r="F133" s="3" t="s">
        <v>35</v>
      </c>
      <c r="G133" s="8"/>
      <c r="H133" s="4">
        <v>46029.37498011574</v>
      </c>
      <c r="I133" s="5">
        <f>IF(C133 = "Smile", H133 + 'Over View'!$B$3, IF(C133 = "Bianco" , H133 + 'Over View'!$B$4, IF(C133 = "Giallo" , H133 + 'Over View'!$B$5, IF(C133 = "Blu" , H133 + 'Over View'!$B$6, IF(C133 = "Verde" , H133 + 'Over View'!$B$7, IF(C133 = "Rosso" , H133 + 'Over View'!$B$8, "Grado Non Inserito") )))))</f>
        <v>46059.37498</v>
      </c>
      <c r="J133" s="4"/>
      <c r="K133" s="7"/>
      <c r="L133" s="2"/>
    </row>
    <row r="134">
      <c r="A134" s="3">
        <v>133.0</v>
      </c>
      <c r="B134" s="3" t="b">
        <v>1</v>
      </c>
      <c r="C134" s="3" t="s">
        <v>18</v>
      </c>
      <c r="D134" s="3">
        <v>8.0</v>
      </c>
      <c r="E134" s="3" t="s">
        <v>25</v>
      </c>
      <c r="F134" s="3" t="s">
        <v>38</v>
      </c>
      <c r="G134" s="8"/>
      <c r="H134" s="4">
        <v>46029.37498011574</v>
      </c>
      <c r="I134" s="5">
        <f>IF(C134 = "Smile", H134 + 'Over View'!$B$3, IF(C134 = "Bianco" , H134 + 'Over View'!$B$4, IF(C134 = "Giallo" , H134 + 'Over View'!$B$5, IF(C134 = "Blu" , H134 + 'Over View'!$B$6, IF(C134 = "Verde" , H134 + 'Over View'!$B$7, IF(C134 = "Rosso" , H134 + 'Over View'!$B$8, "Grado Non Inserito") )))))</f>
        <v>46059.37498</v>
      </c>
      <c r="J134" s="4"/>
      <c r="K134" s="7"/>
      <c r="L134" s="2"/>
    </row>
    <row r="135">
      <c r="A135" s="3">
        <v>134.0</v>
      </c>
      <c r="B135" s="3" t="b">
        <v>1</v>
      </c>
      <c r="C135" s="3" t="s">
        <v>12</v>
      </c>
      <c r="D135" s="3">
        <v>1.0</v>
      </c>
      <c r="E135" s="3" t="s">
        <v>19</v>
      </c>
      <c r="F135" s="3" t="s">
        <v>13</v>
      </c>
      <c r="G135" s="8"/>
      <c r="H135" s="4">
        <v>46029.37498011574</v>
      </c>
      <c r="I135" s="5">
        <f>IF(C135 = "Smile", H135 + 'Over View'!$B$3, IF(C135 = "Bianco" , H135 + 'Over View'!$B$4, IF(C135 = "Giallo" , H135 + 'Over View'!$B$5, IF(C135 = "Blu" , H135 + 'Over View'!$B$6, IF(C135 = "Verde" , H135 + 'Over View'!$B$7, IF(C135 = "Rosso" , H135 + 'Over View'!$B$8, "Grado Non Inserito") )))))</f>
        <v>46059.37498</v>
      </c>
      <c r="J135" s="4"/>
      <c r="K135" s="7"/>
      <c r="L135" s="2"/>
    </row>
    <row r="136">
      <c r="A136" s="3">
        <v>135.0</v>
      </c>
      <c r="B136" s="3" t="b">
        <v>1</v>
      </c>
      <c r="C136" s="3" t="s">
        <v>12</v>
      </c>
      <c r="D136" s="3">
        <v>2.0</v>
      </c>
      <c r="E136" s="3" t="s">
        <v>18</v>
      </c>
      <c r="F136" s="3" t="s">
        <v>13</v>
      </c>
      <c r="G136" s="8"/>
      <c r="H136" s="4">
        <v>46029.37498011574</v>
      </c>
      <c r="I136" s="5">
        <f>IF(C136 = "Smile", H136 + 'Over View'!$B$3, IF(C136 = "Bianco" , H136 + 'Over View'!$B$4, IF(C136 = "Giallo" , H136 + 'Over View'!$B$5, IF(C136 = "Blu" , H136 + 'Over View'!$B$6, IF(C136 = "Verde" , H136 + 'Over View'!$B$7, IF(C136 = "Rosso" , H136 + 'Over View'!$B$8, "Grado Non Inserito") )))))</f>
        <v>46059.37498</v>
      </c>
      <c r="J136" s="4"/>
      <c r="K136" s="7"/>
      <c r="L136" s="2"/>
    </row>
    <row r="137">
      <c r="A137" s="3">
        <v>136.0</v>
      </c>
      <c r="B137" s="3" t="b">
        <v>1</v>
      </c>
      <c r="C137" s="3" t="s">
        <v>12</v>
      </c>
      <c r="D137" s="3">
        <v>3.0</v>
      </c>
      <c r="E137" s="3" t="s">
        <v>18</v>
      </c>
      <c r="F137" s="3" t="s">
        <v>26</v>
      </c>
      <c r="G137" s="8"/>
      <c r="H137" s="4">
        <v>46029.37498011574</v>
      </c>
      <c r="I137" s="5">
        <f>IF(C137 = "Smile", H137 + 'Over View'!$B$3, IF(C137 = "Bianco" , H137 + 'Over View'!$B$4, IF(C137 = "Giallo" , H137 + 'Over View'!$B$5, IF(C137 = "Blu" , H137 + 'Over View'!$B$6, IF(C137 = "Verde" , H137 + 'Over View'!$B$7, IF(C137 = "Rosso" , H137 + 'Over View'!$B$8, "Grado Non Inserito") )))))</f>
        <v>46059.37498</v>
      </c>
      <c r="J137" s="4"/>
      <c r="K137" s="7"/>
      <c r="L137" s="2"/>
    </row>
    <row r="138">
      <c r="A138" s="3">
        <v>137.0</v>
      </c>
      <c r="B138" s="3" t="b">
        <v>1</v>
      </c>
      <c r="C138" s="3" t="s">
        <v>12</v>
      </c>
      <c r="D138" s="3">
        <v>4.0</v>
      </c>
      <c r="E138" s="3" t="s">
        <v>12</v>
      </c>
      <c r="F138" s="3" t="s">
        <v>28</v>
      </c>
      <c r="G138" s="8"/>
      <c r="H138" s="4">
        <v>46029.37498011574</v>
      </c>
      <c r="I138" s="5">
        <f>IF(C138 = "Smile", H138 + 'Over View'!$B$3, IF(C138 = "Bianco" , H138 + 'Over View'!$B$4, IF(C138 = "Giallo" , H138 + 'Over View'!$B$5, IF(C138 = "Blu" , H138 + 'Over View'!$B$6, IF(C138 = "Verde" , H138 + 'Over View'!$B$7, IF(C138 = "Rosso" , H138 + 'Over View'!$B$8, "Grado Non Inserito") )))))</f>
        <v>46059.37498</v>
      </c>
      <c r="J138" s="4"/>
      <c r="K138" s="7"/>
      <c r="L138" s="2"/>
    </row>
    <row r="139">
      <c r="A139" s="3">
        <v>138.0</v>
      </c>
      <c r="B139" s="3" t="b">
        <v>1</v>
      </c>
      <c r="C139" s="3" t="s">
        <v>12</v>
      </c>
      <c r="D139" s="3">
        <v>5.0</v>
      </c>
      <c r="E139" s="3" t="s">
        <v>27</v>
      </c>
      <c r="F139" s="3" t="s">
        <v>30</v>
      </c>
      <c r="G139" s="8"/>
      <c r="H139" s="4">
        <v>46029.37498011574</v>
      </c>
      <c r="I139" s="5">
        <f>IF(C139 = "Smile", H139 + 'Over View'!$B$3, IF(C139 = "Bianco" , H139 + 'Over View'!$B$4, IF(C139 = "Giallo" , H139 + 'Over View'!$B$5, IF(C139 = "Blu" , H139 + 'Over View'!$B$6, IF(C139 = "Verde" , H139 + 'Over View'!$B$7, IF(C139 = "Rosso" , H139 + 'Over View'!$B$8, "Grado Non Inserito") )))))</f>
        <v>46059.37498</v>
      </c>
      <c r="J139" s="4"/>
      <c r="K139" s="7"/>
      <c r="L139" s="2"/>
    </row>
    <row r="140">
      <c r="A140" s="3">
        <v>139.0</v>
      </c>
      <c r="B140" s="3" t="b">
        <v>1</v>
      </c>
      <c r="C140" s="3" t="s">
        <v>12</v>
      </c>
      <c r="D140" s="3">
        <v>6.0</v>
      </c>
      <c r="E140" s="3" t="s">
        <v>11</v>
      </c>
      <c r="F140" s="3" t="s">
        <v>32</v>
      </c>
      <c r="G140" s="8"/>
      <c r="H140" s="4">
        <v>46029.37498011574</v>
      </c>
      <c r="I140" s="5">
        <f>IF(C140 = "Smile", H140 + 'Over View'!$B$3, IF(C140 = "Bianco" , H140 + 'Over View'!$B$4, IF(C140 = "Giallo" , H140 + 'Over View'!$B$5, IF(C140 = "Blu" , H140 + 'Over View'!$B$6, IF(C140 = "Verde" , H140 + 'Over View'!$B$7, IF(C140 = "Rosso" , H140 + 'Over View'!$B$8, "Grado Non Inserito") )))))</f>
        <v>46059.37498</v>
      </c>
      <c r="J140" s="4"/>
      <c r="K140" s="7"/>
      <c r="L140" s="2"/>
    </row>
    <row r="141">
      <c r="A141" s="3">
        <v>140.0</v>
      </c>
      <c r="B141" s="3" t="b">
        <v>1</v>
      </c>
      <c r="C141" s="3" t="s">
        <v>12</v>
      </c>
      <c r="D141" s="3">
        <v>7.0</v>
      </c>
      <c r="E141" s="3" t="s">
        <v>18</v>
      </c>
      <c r="F141" s="3" t="s">
        <v>33</v>
      </c>
      <c r="G141" s="8"/>
      <c r="H141" s="4">
        <v>46029.37498011574</v>
      </c>
      <c r="I141" s="5">
        <f>IF(C141 = "Smile", H141 + 'Over View'!$B$3, IF(C141 = "Bianco" , H141 + 'Over View'!$B$4, IF(C141 = "Giallo" , H141 + 'Over View'!$B$5, IF(C141 = "Blu" , H141 + 'Over View'!$B$6, IF(C141 = "Verde" , H141 + 'Over View'!$B$7, IF(C141 = "Rosso" , H141 + 'Over View'!$B$8, "Grado Non Inserito") )))))</f>
        <v>46059.37498</v>
      </c>
      <c r="J141" s="4"/>
      <c r="K141" s="7"/>
      <c r="L141" s="2"/>
    </row>
    <row r="142">
      <c r="A142" s="3">
        <v>141.0</v>
      </c>
      <c r="B142" s="3" t="b">
        <v>1</v>
      </c>
      <c r="C142" s="3" t="s">
        <v>12</v>
      </c>
      <c r="D142" s="3">
        <v>8.0</v>
      </c>
      <c r="E142" s="3" t="s">
        <v>23</v>
      </c>
      <c r="F142" s="3" t="s">
        <v>38</v>
      </c>
      <c r="G142" s="8"/>
      <c r="H142" s="4">
        <v>46029.37498011574</v>
      </c>
      <c r="I142" s="5">
        <f>IF(C142 = "Smile", H142 + 'Over View'!$B$3, IF(C142 = "Bianco" , H142 + 'Over View'!$B$4, IF(C142 = "Giallo" , H142 + 'Over View'!$B$5, IF(C142 = "Blu" , H142 + 'Over View'!$B$6, IF(C142 = "Verde" , H142 + 'Over View'!$B$7, IF(C142 = "Rosso" , H142 + 'Over View'!$B$8, "Grado Non Inserito") )))))</f>
        <v>46059.37498</v>
      </c>
      <c r="J142" s="4"/>
      <c r="K142" s="7"/>
      <c r="L142" s="2"/>
    </row>
    <row r="143">
      <c r="A143" s="3">
        <v>142.0</v>
      </c>
      <c r="B143" s="3" t="b">
        <v>1</v>
      </c>
      <c r="C143" s="3" t="s">
        <v>11</v>
      </c>
      <c r="D143" s="3">
        <v>1.0</v>
      </c>
      <c r="E143" s="3" t="s">
        <v>23</v>
      </c>
      <c r="F143" s="3" t="s">
        <v>13</v>
      </c>
      <c r="G143" s="8"/>
      <c r="H143" s="4">
        <v>46029.37498011574</v>
      </c>
      <c r="I143" s="5">
        <f>IF(C143 = "Smile", H143 + 'Over View'!$B$3, IF(C143 = "Bianco" , H143 + 'Over View'!$B$4, IF(C143 = "Giallo" , H143 + 'Over View'!$B$5, IF(C143 = "Blu" , H143 + 'Over View'!$B$6, IF(C143 = "Verde" , H143 + 'Over View'!$B$7, IF(C143 = "Rosso" , H143 + 'Over View'!$B$8, "Grado Non Inserito") )))))</f>
        <v>46050.37498</v>
      </c>
      <c r="J143" s="4"/>
      <c r="K143" s="7"/>
      <c r="L143" s="2"/>
    </row>
    <row r="144">
      <c r="A144" s="3">
        <v>143.0</v>
      </c>
      <c r="B144" s="3" t="b">
        <v>1</v>
      </c>
      <c r="C144" s="3" t="s">
        <v>11</v>
      </c>
      <c r="D144" s="3">
        <v>2.0</v>
      </c>
      <c r="E144" s="3" t="s">
        <v>23</v>
      </c>
      <c r="F144" s="3" t="s">
        <v>20</v>
      </c>
      <c r="G144" s="8"/>
      <c r="H144" s="4">
        <v>46029.37498011574</v>
      </c>
      <c r="I144" s="5">
        <f>IF(C144 = "Smile", H144 + 'Over View'!$B$3, IF(C144 = "Bianco" , H144 + 'Over View'!$B$4, IF(C144 = "Giallo" , H144 + 'Over View'!$B$5, IF(C144 = "Blu" , H144 + 'Over View'!$B$6, IF(C144 = "Verde" , H144 + 'Over View'!$B$7, IF(C144 = "Rosso" , H144 + 'Over View'!$B$8, "Grado Non Inserito") )))))</f>
        <v>46050.37498</v>
      </c>
      <c r="J144" s="4"/>
      <c r="K144" s="7"/>
      <c r="L144" s="2"/>
    </row>
    <row r="145">
      <c r="A145" s="3">
        <v>144.0</v>
      </c>
      <c r="B145" s="3" t="b">
        <v>1</v>
      </c>
      <c r="C145" s="3" t="s">
        <v>11</v>
      </c>
      <c r="D145" s="3">
        <v>3.0</v>
      </c>
      <c r="E145" s="3" t="s">
        <v>23</v>
      </c>
      <c r="F145" s="3" t="s">
        <v>30</v>
      </c>
      <c r="G145" s="8"/>
      <c r="H145" s="4">
        <v>46029.37498011574</v>
      </c>
      <c r="I145" s="5">
        <f>IF(C145 = "Smile", H145 + 'Over View'!$B$3, IF(C145 = "Bianco" , H145 + 'Over View'!$B$4, IF(C145 = "Giallo" , H145 + 'Over View'!$B$5, IF(C145 = "Blu" , H145 + 'Over View'!$B$6, IF(C145 = "Verde" , H145 + 'Over View'!$B$7, IF(C145 = "Rosso" , H145 + 'Over View'!$B$8, "Grado Non Inserito") )))))</f>
        <v>46050.37498</v>
      </c>
      <c r="J145" s="4"/>
      <c r="K145" s="7"/>
      <c r="L145" s="2"/>
    </row>
    <row r="146">
      <c r="A146" s="3">
        <v>145.0</v>
      </c>
      <c r="B146" s="3" t="b">
        <v>1</v>
      </c>
      <c r="C146" s="3" t="s">
        <v>11</v>
      </c>
      <c r="D146" s="3">
        <v>4.0</v>
      </c>
      <c r="E146" s="3" t="s">
        <v>18</v>
      </c>
      <c r="F146" s="3" t="s">
        <v>32</v>
      </c>
      <c r="G146" s="8"/>
      <c r="H146" s="4">
        <v>46029.37498011574</v>
      </c>
      <c r="I146" s="5">
        <f>IF(C146 = "Smile", H146 + 'Over View'!$B$3, IF(C146 = "Bianco" , H146 + 'Over View'!$B$4, IF(C146 = "Giallo" , H146 + 'Over View'!$B$5, IF(C146 = "Blu" , H146 + 'Over View'!$B$6, IF(C146 = "Verde" , H146 + 'Over View'!$B$7, IF(C146 = "Rosso" , H146 + 'Over View'!$B$8, "Grado Non Inserito") )))))</f>
        <v>46050.37498</v>
      </c>
      <c r="J146" s="4"/>
      <c r="K146" s="7"/>
      <c r="L146" s="2"/>
    </row>
    <row r="147">
      <c r="A147" s="3">
        <v>146.0</v>
      </c>
      <c r="B147" s="3" t="b">
        <v>1</v>
      </c>
      <c r="C147" s="3" t="s">
        <v>11</v>
      </c>
      <c r="D147" s="3">
        <v>5.0</v>
      </c>
      <c r="E147" s="3" t="s">
        <v>11</v>
      </c>
      <c r="F147" s="3" t="s">
        <v>38</v>
      </c>
      <c r="G147" s="8"/>
      <c r="H147" s="4">
        <v>46029.37498011574</v>
      </c>
      <c r="I147" s="5">
        <f>IF(C147 = "Smile", H147 + 'Over View'!$B$3, IF(C147 = "Bianco" , H147 + 'Over View'!$B$4, IF(C147 = "Giallo" , H147 + 'Over View'!$B$5, IF(C147 = "Blu" , H147 + 'Over View'!$B$6, IF(C147 = "Verde" , H147 + 'Over View'!$B$7, IF(C147 = "Rosso" , H147 + 'Over View'!$B$8, "Grado Non Inserito") )))))</f>
        <v>46050.37498</v>
      </c>
      <c r="J147" s="4"/>
      <c r="K147" s="7"/>
      <c r="L147" s="2"/>
    </row>
    <row r="148">
      <c r="A148" s="3">
        <v>147.0</v>
      </c>
      <c r="B148" s="3" t="b">
        <v>1</v>
      </c>
      <c r="C148" s="3" t="s">
        <v>23</v>
      </c>
      <c r="D148" s="3">
        <v>1.0</v>
      </c>
      <c r="E148" s="3" t="s">
        <v>12</v>
      </c>
      <c r="F148" s="3" t="s">
        <v>26</v>
      </c>
      <c r="G148" s="8"/>
      <c r="H148" s="4">
        <v>46029.37498011574</v>
      </c>
      <c r="I148" s="5">
        <f>IF(C148 = "Smile", H148 + 'Over View'!$B$3, IF(C148 = "Bianco" , H148 + 'Over View'!$B$4, IF(C148 = "Giallo" , H148 + 'Over View'!$B$5, IF(C148 = "Blu" , H148 + 'Over View'!$B$6, IF(C148 = "Verde" , H148 + 'Over View'!$B$7, IF(C148 = "Rosso" , H148 + 'Over View'!$B$8, "Grado Non Inserito") )))))</f>
        <v>46050.37498</v>
      </c>
      <c r="J148" s="4"/>
      <c r="K148" s="7"/>
      <c r="L148" s="2"/>
    </row>
    <row r="149">
      <c r="A149" s="3">
        <v>148.0</v>
      </c>
      <c r="B149" s="3" t="b">
        <v>1</v>
      </c>
      <c r="C149" s="3" t="s">
        <v>23</v>
      </c>
      <c r="D149" s="3">
        <v>2.0</v>
      </c>
      <c r="E149" s="3" t="s">
        <v>25</v>
      </c>
      <c r="F149" s="3" t="s">
        <v>32</v>
      </c>
      <c r="G149" s="8"/>
      <c r="H149" s="4">
        <v>46029.37498011574</v>
      </c>
      <c r="I149" s="5">
        <f>IF(C149 = "Smile", H149 + 'Over View'!$B$3, IF(C149 = "Bianco" , H149 + 'Over View'!$B$4, IF(C149 = "Giallo" , H149 + 'Over View'!$B$5, IF(C149 = "Blu" , H149 + 'Over View'!$B$6, IF(C149 = "Verde" , H149 + 'Over View'!$B$7, IF(C149 = "Rosso" , H149 + 'Over View'!$B$8, "Grado Non Inserito") )))))</f>
        <v>46050.37498</v>
      </c>
      <c r="J149" s="4"/>
      <c r="K149" s="7"/>
      <c r="L149" s="2"/>
    </row>
    <row r="150">
      <c r="A150" s="3">
        <v>149.0</v>
      </c>
      <c r="B150" s="3" t="b">
        <v>1</v>
      </c>
      <c r="C150" s="3" t="s">
        <v>23</v>
      </c>
      <c r="D150" s="3">
        <v>3.0</v>
      </c>
      <c r="E150" s="3" t="s">
        <v>25</v>
      </c>
      <c r="F150" s="3" t="s">
        <v>38</v>
      </c>
      <c r="G150" s="8"/>
      <c r="H150" s="4">
        <v>46029.37498011574</v>
      </c>
      <c r="I150" s="5">
        <f>IF(C150 = "Smile", H150 + 'Over View'!$B$3, IF(C150 = "Bianco" , H150 + 'Over View'!$B$4, IF(C150 = "Giallo" , H150 + 'Over View'!$B$5, IF(C150 = "Blu" , H150 + 'Over View'!$B$6, IF(C150 = "Verde" , H150 + 'Over View'!$B$7, IF(C150 = "Rosso" , H150 + 'Over View'!$B$8, "Grado Non Inserito") )))))</f>
        <v>46050.37498</v>
      </c>
      <c r="J150" s="4"/>
      <c r="K150" s="7"/>
      <c r="L150" s="2"/>
    </row>
    <row r="151">
      <c r="A151" s="3">
        <v>150.0</v>
      </c>
      <c r="B151" s="3" t="b">
        <v>1</v>
      </c>
      <c r="C151" s="3" t="s">
        <v>11</v>
      </c>
      <c r="D151" s="2"/>
      <c r="E151" s="3" t="s">
        <v>19</v>
      </c>
      <c r="F151" s="3" t="s">
        <v>33</v>
      </c>
      <c r="G151" s="3" t="s">
        <v>40</v>
      </c>
      <c r="H151" s="4">
        <v>46029.37498011574</v>
      </c>
      <c r="I151" s="5">
        <f>IF(C151 = "Smile", H151 + 'Over View'!$B$3, IF(C151 = "Bianco" , H151 + 'Over View'!$B$4, IF(C151 = "Giallo" , H151 + 'Over View'!$B$5, IF(C151 = "Blu" , H151 + 'Over View'!$B$6, IF(C151 = "Verde" , H151 + 'Over View'!$B$7, IF(C151 = "Rosso" , H151 + 'Over View'!$B$8, "Grado Non Inserito") )))))</f>
        <v>46050.37498</v>
      </c>
      <c r="J151" s="4"/>
      <c r="K151" s="7"/>
      <c r="L151" s="2"/>
    </row>
    <row r="152">
      <c r="A152" s="3">
        <v>151.0</v>
      </c>
      <c r="B152" s="3" t="b">
        <v>1</v>
      </c>
      <c r="C152" s="3" t="s">
        <v>12</v>
      </c>
      <c r="D152" s="2"/>
      <c r="E152" s="3" t="s">
        <v>12</v>
      </c>
      <c r="F152" s="3" t="s">
        <v>33</v>
      </c>
      <c r="G152" s="3" t="s">
        <v>40</v>
      </c>
      <c r="H152" s="4">
        <v>46029.37498011574</v>
      </c>
      <c r="I152" s="5">
        <f>IF(C152 = "Smile", H152 + 'Over View'!$B$3, IF(C152 = "Bianco" , H152 + 'Over View'!$B$4, IF(C152 = "Giallo" , H152 + 'Over View'!$B$5, IF(C152 = "Blu" , H152 + 'Over View'!$B$6, IF(C152 = "Verde" , H152 + 'Over View'!$B$7, IF(C152 = "Rosso" , H152 + 'Over View'!$B$8, "Grado Non Inserito") )))))</f>
        <v>46059.37498</v>
      </c>
      <c r="J152" s="4"/>
      <c r="K152" s="7"/>
      <c r="L152" s="2"/>
    </row>
    <row r="153">
      <c r="A153" s="3">
        <v>152.0</v>
      </c>
      <c r="B153" s="3" t="b">
        <v>1</v>
      </c>
      <c r="C153" s="3" t="s">
        <v>12</v>
      </c>
      <c r="D153" s="2"/>
      <c r="E153" s="3" t="s">
        <v>23</v>
      </c>
      <c r="F153" s="3" t="s">
        <v>35</v>
      </c>
      <c r="G153" s="3" t="s">
        <v>14</v>
      </c>
      <c r="H153" s="4">
        <v>46029.37498011574</v>
      </c>
      <c r="I153" s="5">
        <f>IF(C153 = "Smile", H153 + 'Over View'!$B$3, IF(C153 = "Bianco" , H153 + 'Over View'!$B$4, IF(C153 = "Giallo" , H153 + 'Over View'!$B$5, IF(C153 = "Blu" , H153 + 'Over View'!$B$6, IF(C153 = "Verde" , H153 + 'Over View'!$B$7, IF(C153 = "Rosso" , H153 + 'Over View'!$B$8, "Grado Non Inserito") )))))</f>
        <v>46059.37498</v>
      </c>
      <c r="J153" s="4"/>
      <c r="K153" s="7"/>
      <c r="L153" s="2"/>
    </row>
    <row r="154">
      <c r="A154" s="3">
        <v>153.0</v>
      </c>
      <c r="B154" s="3" t="b">
        <v>1</v>
      </c>
      <c r="C154" s="3" t="s">
        <v>11</v>
      </c>
      <c r="D154" s="2"/>
      <c r="E154" s="3" t="s">
        <v>18</v>
      </c>
      <c r="F154" s="3" t="s">
        <v>35</v>
      </c>
      <c r="G154" s="3" t="s">
        <v>24</v>
      </c>
      <c r="H154" s="4">
        <v>46029.37498011574</v>
      </c>
      <c r="I154" s="5">
        <f>IF(C154 = "Smile", H154 + 'Over View'!$B$3, IF(C154 = "Bianco" , H154 + 'Over View'!$B$4, IF(C154 = "Giallo" , H154 + 'Over View'!$B$5, IF(C154 = "Blu" , H154 + 'Over View'!$B$6, IF(C154 = "Verde" , H154 + 'Over View'!$B$7, IF(C154 = "Rosso" , H154 + 'Over View'!$B$8, "Grado Non Inserito") )))))</f>
        <v>46050.37498</v>
      </c>
      <c r="J154" s="4"/>
      <c r="K154" s="7"/>
      <c r="L154" s="2"/>
    </row>
    <row r="155">
      <c r="A155" s="3">
        <v>154.0</v>
      </c>
      <c r="B155" s="3" t="b">
        <v>1</v>
      </c>
      <c r="C155" s="3" t="s">
        <v>23</v>
      </c>
      <c r="D155" s="2"/>
      <c r="E155" s="3" t="s">
        <v>12</v>
      </c>
      <c r="F155" s="3" t="s">
        <v>38</v>
      </c>
      <c r="G155" s="3" t="s">
        <v>14</v>
      </c>
      <c r="H155" s="4">
        <v>46029.37498011574</v>
      </c>
      <c r="I155" s="5">
        <f>IF(C155 = "Smile", H155 + 'Over View'!$B$3, IF(C155 = "Bianco" , H155 + 'Over View'!$B$4, IF(C155 = "Giallo" , H155 + 'Over View'!$B$5, IF(C155 = "Blu" , H155 + 'Over View'!$B$6, IF(C155 = "Verde" , H155 + 'Over View'!$B$7, IF(C155 = "Rosso" , H155 + 'Over View'!$B$8, "Grado Non Inserito") )))))</f>
        <v>46050.37498</v>
      </c>
      <c r="J155" s="4"/>
      <c r="K155" s="7"/>
      <c r="L155" s="2"/>
    </row>
    <row r="156">
      <c r="A156" s="3">
        <v>155.0</v>
      </c>
      <c r="B156" s="3" t="b">
        <v>1</v>
      </c>
      <c r="C156" s="3" t="s">
        <v>12</v>
      </c>
      <c r="D156" s="2"/>
      <c r="E156" s="3" t="s">
        <v>19</v>
      </c>
      <c r="F156" s="3" t="s">
        <v>38</v>
      </c>
      <c r="G156" s="3" t="s">
        <v>36</v>
      </c>
      <c r="H156" s="4">
        <v>46029.37498011574</v>
      </c>
      <c r="I156" s="5">
        <f>IF(C156 = "Smile", H156 + 'Over View'!$B$3, IF(C156 = "Bianco" , H156 + 'Over View'!$B$4, IF(C156 = "Giallo" , H156 + 'Over View'!$B$5, IF(C156 = "Blu" , H156 + 'Over View'!$B$6, IF(C156 = "Verde" , H156 + 'Over View'!$B$7, IF(C156 = "Rosso" , H156 + 'Over View'!$B$8, "Grado Non Inserito") )))))</f>
        <v>46059.37498</v>
      </c>
      <c r="J156" s="4"/>
      <c r="K156" s="7"/>
      <c r="L156" s="2"/>
    </row>
    <row r="157">
      <c r="A157" s="3">
        <v>156.0</v>
      </c>
      <c r="B157" s="3" t="b">
        <v>1</v>
      </c>
      <c r="C157" s="3" t="s">
        <v>16</v>
      </c>
      <c r="D157" s="2"/>
      <c r="E157" s="3" t="s">
        <v>22</v>
      </c>
      <c r="F157" s="3" t="s">
        <v>32</v>
      </c>
      <c r="G157" s="3" t="s">
        <v>24</v>
      </c>
      <c r="H157" s="4">
        <v>46031.43029230324</v>
      </c>
      <c r="I157" s="5">
        <f>IF(C157 = "Smile", H157 + 'Over View'!$B$3, IF(C157 = "Bianco" , H157 + 'Over View'!$B$4, IF(C157 = "Giallo" , H157 + 'Over View'!$B$5, IF(C157 = "Blu" , H157 + 'Over View'!$B$6, IF(C157 = "Verde" , H157 + 'Over View'!$B$7, IF(C157 = "Rosso" , H157 + 'Over View'!$B$8, "Grado Non Inserito") )))))</f>
        <v>46045.43029</v>
      </c>
      <c r="J157" s="4"/>
      <c r="K157" s="7"/>
      <c r="L157" s="2"/>
    </row>
    <row r="158">
      <c r="A158" s="3">
        <v>157.0</v>
      </c>
      <c r="B158" s="3" t="b">
        <v>1</v>
      </c>
      <c r="C158" s="3" t="s">
        <v>16</v>
      </c>
      <c r="D158" s="2"/>
      <c r="E158" s="3" t="s">
        <v>12</v>
      </c>
      <c r="F158" s="3" t="s">
        <v>32</v>
      </c>
      <c r="G158" s="3" t="s">
        <v>36</v>
      </c>
      <c r="H158" s="4">
        <v>46031.485424722225</v>
      </c>
      <c r="I158" s="5">
        <f>IF(C158 = "Smile", H158 + 'Over View'!$B$3, IF(C158 = "Bianco" , H158 + 'Over View'!$B$4, IF(C158 = "Giallo" , H158 + 'Over View'!$B$5, IF(C158 = "Blu" , H158 + 'Over View'!$B$6, IF(C158 = "Verde" , H158 + 'Over View'!$B$7, IF(C158 = "Rosso" , H158 + 'Over View'!$B$8, "Grado Non Inserito") )))))</f>
        <v>46045.48542</v>
      </c>
      <c r="J158" s="4"/>
      <c r="K158" s="6" t="s">
        <v>15</v>
      </c>
      <c r="L158" s="2"/>
    </row>
    <row r="159">
      <c r="A159" s="3">
        <v>158.0</v>
      </c>
      <c r="B159" s="3" t="b">
        <v>1</v>
      </c>
      <c r="C159" s="3" t="s">
        <v>21</v>
      </c>
      <c r="D159" s="2"/>
      <c r="E159" s="3" t="s">
        <v>11</v>
      </c>
      <c r="F159" s="3" t="s">
        <v>35</v>
      </c>
      <c r="G159" s="3" t="s">
        <v>36</v>
      </c>
      <c r="H159" s="4">
        <v>46031.48545414352</v>
      </c>
      <c r="I159" s="5">
        <f>IF(C159 = "Smile", H159 + 'Over View'!$B$3, IF(C159 = "Bianco" , H159 + 'Over View'!$B$4, IF(C159 = "Giallo" , H159 + 'Over View'!$B$5, IF(C159 = "Blu" , H159 + 'Over View'!$B$6, IF(C159 = "Verde" , H159 + 'Over View'!$B$7, IF(C159 = "Rosso" , H159 + 'Over View'!$B$8, "Grado Non Inserito") )))))</f>
        <v>46045.48545</v>
      </c>
      <c r="J159" s="4"/>
      <c r="K159" s="6" t="s">
        <v>15</v>
      </c>
      <c r="L159" s="2"/>
    </row>
    <row r="160">
      <c r="A160" s="3">
        <v>159.0</v>
      </c>
      <c r="B160" s="3" t="b">
        <v>1</v>
      </c>
      <c r="C160" s="3" t="s">
        <v>21</v>
      </c>
      <c r="D160" s="2"/>
      <c r="E160" s="3" t="s">
        <v>11</v>
      </c>
      <c r="F160" s="3" t="s">
        <v>33</v>
      </c>
      <c r="G160" s="3" t="s">
        <v>36</v>
      </c>
      <c r="H160" s="4">
        <v>46031.48545773148</v>
      </c>
      <c r="I160" s="5">
        <f>IF(C160 = "Smile", H160 + 'Over View'!$B$3, IF(C160 = "Bianco" , H160 + 'Over View'!$B$4, IF(C160 = "Giallo" , H160 + 'Over View'!$B$5, IF(C160 = "Blu" , H160 + 'Over View'!$B$6, IF(C160 = "Verde" , H160 + 'Over View'!$B$7, IF(C160 = "Rosso" , H160 + 'Over View'!$B$8, "Grado Non Inserito") )))))</f>
        <v>46045.48546</v>
      </c>
      <c r="J160" s="4"/>
      <c r="K160" s="6" t="s">
        <v>15</v>
      </c>
      <c r="L160" s="2"/>
    </row>
    <row r="161">
      <c r="A161" s="3">
        <v>160.0</v>
      </c>
      <c r="B161" s="3" t="b">
        <v>1</v>
      </c>
      <c r="C161" s="3" t="s">
        <v>21</v>
      </c>
      <c r="D161" s="2"/>
      <c r="E161" s="3" t="s">
        <v>25</v>
      </c>
      <c r="F161" s="3" t="s">
        <v>28</v>
      </c>
      <c r="G161" s="3" t="s">
        <v>24</v>
      </c>
      <c r="H161" s="4">
        <v>46031.48619255787</v>
      </c>
      <c r="I161" s="5">
        <f>IF(C161 = "Smile", H161 + 'Over View'!$B$3, IF(C161 = "Bianco" , H161 + 'Over View'!$B$4, IF(C161 = "Giallo" , H161 + 'Over View'!$B$5, IF(C161 = "Blu" , H161 + 'Over View'!$B$6, IF(C161 = "Verde" , H161 + 'Over View'!$B$7, IF(C161 = "Rosso" , H161 + 'Over View'!$B$8, "Grado Non Inserito") )))))</f>
        <v>46045.48619</v>
      </c>
      <c r="J161" s="4"/>
      <c r="K161" s="6" t="s">
        <v>15</v>
      </c>
      <c r="L161" s="2"/>
    </row>
    <row r="162">
      <c r="A162" s="3">
        <v>161.0</v>
      </c>
      <c r="B162" s="3" t="b">
        <v>1</v>
      </c>
      <c r="C162" s="3" t="s">
        <v>21</v>
      </c>
      <c r="D162" s="2"/>
      <c r="E162" s="3" t="s">
        <v>11</v>
      </c>
      <c r="F162" s="3" t="s">
        <v>30</v>
      </c>
      <c r="G162" s="3" t="s">
        <v>24</v>
      </c>
      <c r="H162" s="4">
        <v>46031.493893425926</v>
      </c>
      <c r="I162" s="5">
        <f>IF(C162 = "Smile", H162 + 'Over View'!$B$3, IF(C162 = "Bianco" , H162 + 'Over View'!$B$4, IF(C162 = "Giallo" , H162 + 'Over View'!$B$5, IF(C162 = "Blu" , H162 + 'Over View'!$B$6, IF(C162 = "Verde" , H162 + 'Over View'!$B$7, IF(C162 = "Rosso" , H162 + 'Over View'!$B$8, "Grado Non Inserito") )))))</f>
        <v>46045.49389</v>
      </c>
      <c r="J162" s="4"/>
      <c r="K162" s="7"/>
      <c r="L162" s="2"/>
    </row>
    <row r="163">
      <c r="A163" s="3">
        <v>162.0</v>
      </c>
      <c r="B163" s="3" t="b">
        <v>1</v>
      </c>
      <c r="C163" s="3" t="s">
        <v>18</v>
      </c>
      <c r="D163" s="2"/>
      <c r="E163" s="3" t="s">
        <v>25</v>
      </c>
      <c r="F163" s="3" t="s">
        <v>30</v>
      </c>
      <c r="G163" s="3" t="s">
        <v>24</v>
      </c>
      <c r="H163" s="4">
        <v>46031.51395728009</v>
      </c>
      <c r="I163" s="5">
        <f>IF(C163 = "Smile", H163 + 'Over View'!$B$3, IF(C163 = "Bianco" , H163 + 'Over View'!$B$4, IF(C163 = "Giallo" , H163 + 'Over View'!$B$5, IF(C163 = "Blu" , H163 + 'Over View'!$B$6, IF(C163 = "Verde" , H163 + 'Over View'!$B$7, IF(C163 = "Rosso" , H163 + 'Over View'!$B$8, "Grado Non Inserito") )))))</f>
        <v>46061.51396</v>
      </c>
      <c r="J163" s="4"/>
      <c r="K163" s="7"/>
      <c r="L163" s="2"/>
    </row>
    <row r="164">
      <c r="A164" s="3">
        <v>163.0</v>
      </c>
      <c r="B164" s="3" t="b">
        <v>1</v>
      </c>
      <c r="C164" s="3" t="s">
        <v>18</v>
      </c>
      <c r="D164" s="2"/>
      <c r="E164" s="3" t="s">
        <v>19</v>
      </c>
      <c r="F164" s="3" t="s">
        <v>26</v>
      </c>
      <c r="G164" s="3" t="s">
        <v>36</v>
      </c>
      <c r="H164" s="4">
        <v>46031.51440871527</v>
      </c>
      <c r="I164" s="5">
        <f>IF(C164 = "Smile", H164 + 'Over View'!$B$3, IF(C164 = "Bianco" , H164 + 'Over View'!$B$4, IF(C164 = "Giallo" , H164 + 'Over View'!$B$5, IF(C164 = "Blu" , H164 + 'Over View'!$B$6, IF(C164 = "Verde" , H164 + 'Over View'!$B$7, IF(C164 = "Rosso" , H164 + 'Over View'!$B$8, "Grado Non Inserito") )))))</f>
        <v>46061.51441</v>
      </c>
      <c r="J164" s="4"/>
      <c r="K164" s="6" t="s">
        <v>15</v>
      </c>
      <c r="L164" s="2"/>
    </row>
    <row r="165">
      <c r="A165" s="3">
        <v>164.0</v>
      </c>
      <c r="B165" s="3" t="b">
        <v>1</v>
      </c>
      <c r="C165" s="3" t="s">
        <v>18</v>
      </c>
      <c r="D165" s="2"/>
      <c r="E165" s="3" t="s">
        <v>27</v>
      </c>
      <c r="F165" s="3" t="s">
        <v>13</v>
      </c>
      <c r="G165" s="3" t="s">
        <v>36</v>
      </c>
      <c r="H165" s="4">
        <v>46031.5293131713</v>
      </c>
      <c r="I165" s="5">
        <f>IF(C165 = "Smile", H165 + 'Over View'!$B$3, IF(C165 = "Bianco" , H165 + 'Over View'!$B$4, IF(C165 = "Giallo" , H165 + 'Over View'!$B$5, IF(C165 = "Blu" , H165 + 'Over View'!$B$6, IF(C165 = "Verde" , H165 + 'Over View'!$B$7, IF(C165 = "Rosso" , H165 + 'Over View'!$B$8, "Grado Non Inserito") )))))</f>
        <v>46061.52931</v>
      </c>
      <c r="J165" s="4"/>
      <c r="K165" s="6" t="s">
        <v>15</v>
      </c>
      <c r="L165" s="2"/>
    </row>
    <row r="166">
      <c r="A166" s="3">
        <v>165.0</v>
      </c>
      <c r="B166" s="3" t="b">
        <v>1</v>
      </c>
      <c r="C166" s="3" t="s">
        <v>18</v>
      </c>
      <c r="D166" s="2"/>
      <c r="E166" s="3" t="s">
        <v>18</v>
      </c>
      <c r="F166" s="3" t="s">
        <v>28</v>
      </c>
      <c r="G166" s="3" t="s">
        <v>24</v>
      </c>
      <c r="H166" s="4">
        <v>46031.53470675926</v>
      </c>
      <c r="I166" s="5">
        <f>IF(C166 = "Smile", H166 + 'Over View'!$B$3, IF(C166 = "Bianco" , H166 + 'Over View'!$B$4, IF(C166 = "Giallo" , H166 + 'Over View'!$B$5, IF(C166 = "Blu" , H166 + 'Over View'!$B$6, IF(C166 = "Verde" , H166 + 'Over View'!$B$7, IF(C166 = "Rosso" , H166 + 'Over View'!$B$8, "Grado Non Inserito") )))))</f>
        <v>46061.53471</v>
      </c>
      <c r="J166" s="4"/>
      <c r="K166" s="6" t="s">
        <v>15</v>
      </c>
      <c r="L166" s="2"/>
    </row>
    <row r="167">
      <c r="A167" s="3">
        <v>166.0</v>
      </c>
      <c r="B167" s="3" t="b">
        <v>1</v>
      </c>
      <c r="C167" s="3" t="s">
        <v>21</v>
      </c>
      <c r="D167" s="2"/>
      <c r="E167" s="3" t="s">
        <v>23</v>
      </c>
      <c r="F167" s="3" t="s">
        <v>26</v>
      </c>
      <c r="G167" s="3" t="s">
        <v>24</v>
      </c>
      <c r="H167" s="4">
        <v>46036.594762256944</v>
      </c>
      <c r="I167" s="5">
        <f>IF(C167 = "Smile", H167 + 'Over View'!$B$3, IF(C167 = "Bianco" , H167 + 'Over View'!$B$4, IF(C167 = "Giallo" , H167 + 'Over View'!$B$5, IF(C167 = "Blu" , H167 + 'Over View'!$B$6, IF(C167 = "Verde" , H167 + 'Over View'!$B$7, IF(C167 = "Rosso" , H167 + 'Over View'!$B$8, "Grado Non Inserito") )))))</f>
        <v>46050.59476</v>
      </c>
      <c r="J167" s="4"/>
      <c r="K167" s="6" t="s">
        <v>15</v>
      </c>
      <c r="L167" s="2"/>
    </row>
    <row r="168">
      <c r="A168" s="3">
        <v>167.0</v>
      </c>
      <c r="B168" s="3" t="b">
        <v>1</v>
      </c>
      <c r="C168" s="3" t="s">
        <v>12</v>
      </c>
      <c r="D168" s="2"/>
      <c r="E168" s="3" t="s">
        <v>31</v>
      </c>
      <c r="F168" s="3" t="s">
        <v>30</v>
      </c>
      <c r="G168" s="3" t="s">
        <v>24</v>
      </c>
      <c r="H168" s="4">
        <v>46036.59476670139</v>
      </c>
      <c r="I168" s="5">
        <f>IF(C168 = "Smile", H168 + 'Over View'!$B$3, IF(C168 = "Bianco" , H168 + 'Over View'!$B$4, IF(C168 = "Giallo" , H168 + 'Over View'!$B$5, IF(C168 = "Blu" , H168 + 'Over View'!$B$6, IF(C168 = "Verde" , H168 + 'Over View'!$B$7, IF(C168 = "Rosso" , H168 + 'Over View'!$B$8, "Grado Non Inserito") )))))</f>
        <v>46066.59477</v>
      </c>
      <c r="J168" s="4"/>
      <c r="K168" s="6" t="s">
        <v>15</v>
      </c>
      <c r="L168" s="2"/>
    </row>
    <row r="169">
      <c r="A169" s="3">
        <v>168.0</v>
      </c>
      <c r="B169" s="3" t="b">
        <v>1</v>
      </c>
      <c r="C169" s="3" t="s">
        <v>12</v>
      </c>
      <c r="D169" s="2"/>
      <c r="E169" s="3" t="s">
        <v>11</v>
      </c>
      <c r="F169" s="3" t="s">
        <v>13</v>
      </c>
      <c r="G169" s="3" t="s">
        <v>24</v>
      </c>
      <c r="H169" s="4">
        <v>46036.5956259375</v>
      </c>
      <c r="I169" s="5">
        <f>IF(C169 = "Smile", H169 + 'Over View'!$B$3, IF(C169 = "Bianco" , H169 + 'Over View'!$B$4, IF(C169 = "Giallo" , H169 + 'Over View'!$B$5, IF(C169 = "Blu" , H169 + 'Over View'!$B$6, IF(C169 = "Verde" , H169 + 'Over View'!$B$7, IF(C169 = "Rosso" , H169 + 'Over View'!$B$8, "Grado Non Inserito") )))))</f>
        <v>46066.59563</v>
      </c>
      <c r="J169" s="4"/>
      <c r="K169" s="6" t="s">
        <v>15</v>
      </c>
      <c r="L169" s="2"/>
    </row>
    <row r="170">
      <c r="A170" s="3">
        <v>169.0</v>
      </c>
      <c r="B170" s="3" t="b">
        <v>1</v>
      </c>
      <c r="C170" s="3" t="s">
        <v>12</v>
      </c>
      <c r="D170" s="2"/>
      <c r="E170" s="3" t="s">
        <v>22</v>
      </c>
      <c r="F170" s="3" t="s">
        <v>30</v>
      </c>
      <c r="G170" s="3" t="s">
        <v>36</v>
      </c>
      <c r="H170" s="4">
        <v>46036.661813125</v>
      </c>
      <c r="I170" s="5">
        <f>IF(C170 = "Smile", H170 + 'Over View'!$B$3, IF(C170 = "Bianco" , H170 + 'Over View'!$B$4, IF(C170 = "Giallo" , H170 + 'Over View'!$B$5, IF(C170 = "Blu" , H170 + 'Over View'!$B$6, IF(C170 = "Verde" , H170 + 'Over View'!$B$7, IF(C170 = "Rosso" , H170 + 'Over View'!$B$8, "Grado Non Inserito") )))))</f>
        <v>46066.66181</v>
      </c>
      <c r="J170" s="4"/>
      <c r="K170" s="6" t="s">
        <v>15</v>
      </c>
      <c r="L170" s="2"/>
    </row>
    <row r="171">
      <c r="A171" s="3">
        <v>170.0</v>
      </c>
      <c r="B171" s="3" t="b">
        <v>1</v>
      </c>
      <c r="C171" s="3" t="s">
        <v>23</v>
      </c>
      <c r="D171" s="2"/>
      <c r="E171" s="3" t="s">
        <v>18</v>
      </c>
      <c r="F171" s="3" t="s">
        <v>32</v>
      </c>
      <c r="G171" s="3" t="s">
        <v>36</v>
      </c>
      <c r="H171" s="4">
        <v>46036.66184767361</v>
      </c>
      <c r="I171" s="5">
        <f>IF(C171 = "Smile", H171 + 'Over View'!$B$3, IF(C171 = "Bianco" , H171 + 'Over View'!$B$4, IF(C171 = "Giallo" , H171 + 'Over View'!$B$5, IF(C171 = "Blu" , H171 + 'Over View'!$B$6, IF(C171 = "Verde" , H171 + 'Over View'!$B$7, IF(C171 = "Rosso" , H171 + 'Over View'!$B$8, "Grado Non Inserito") )))))</f>
        <v>46057.66185</v>
      </c>
      <c r="J171" s="4"/>
      <c r="K171" s="6" t="s">
        <v>15</v>
      </c>
      <c r="M171" s="4"/>
    </row>
    <row r="172">
      <c r="A172" s="3">
        <v>171.0</v>
      </c>
      <c r="B172" s="3" t="b">
        <v>1</v>
      </c>
      <c r="C172" s="3" t="s">
        <v>18</v>
      </c>
      <c r="D172" s="2"/>
      <c r="E172" s="3" t="s">
        <v>31</v>
      </c>
      <c r="F172" s="3" t="s">
        <v>32</v>
      </c>
      <c r="G172" s="3" t="s">
        <v>36</v>
      </c>
      <c r="H172" s="4">
        <v>46036.661854074075</v>
      </c>
      <c r="I172" s="5">
        <f>IF(C172 = "Smile", H172 + 'Over View'!$B$3, IF(C172 = "Bianco" , H172 + 'Over View'!$B$4, IF(C172 = "Giallo" , H172 + 'Over View'!$B$5, IF(C172 = "Blu" , H172 + 'Over View'!$B$6, IF(C172 = "Verde" , H172 + 'Over View'!$B$7, IF(C172 = "Rosso" , H172 + 'Over View'!$B$8, "Grado Non Inserito") )))))</f>
        <v>46066.66185</v>
      </c>
      <c r="J172" s="4"/>
      <c r="K172" s="6" t="s">
        <v>15</v>
      </c>
      <c r="M172" s="4"/>
    </row>
    <row r="173">
      <c r="A173" s="3">
        <v>172.0</v>
      </c>
      <c r="B173" s="3" t="b">
        <v>1</v>
      </c>
      <c r="C173" s="3" t="s">
        <v>21</v>
      </c>
      <c r="E173" s="3" t="s">
        <v>22</v>
      </c>
      <c r="F173" s="3" t="s">
        <v>35</v>
      </c>
      <c r="G173" s="3" t="s">
        <v>24</v>
      </c>
      <c r="H173" s="4">
        <v>46053.46224653935</v>
      </c>
      <c r="I173" s="5">
        <f>IF(C173 = "Smile", H173 + 'Over View'!$B$3, IF(C173 = "Bianco" , H173 + 'Over View'!$B$4, IF(C173 = "Giallo" , H173 + 'Over View'!$B$5, IF(C173 = "Blu" , H173 + 'Over View'!$B$6, IF(C173 = "Verde" , H173 + 'Over View'!$B$7, IF(C173 = "Rosso" , H173 + 'Over View'!$B$8, "Grado Non Inserito") )))))</f>
        <v>46067.46225</v>
      </c>
      <c r="J173" s="4"/>
      <c r="K173" s="6" t="s">
        <v>15</v>
      </c>
      <c r="L173" s="2"/>
    </row>
    <row r="174">
      <c r="A174" s="3">
        <v>173.0</v>
      </c>
      <c r="B174" s="3" t="b">
        <v>1</v>
      </c>
      <c r="C174" s="3" t="s">
        <v>21</v>
      </c>
      <c r="E174" s="3" t="s">
        <v>22</v>
      </c>
      <c r="F174" s="3" t="s">
        <v>32</v>
      </c>
      <c r="G174" s="3" t="s">
        <v>24</v>
      </c>
      <c r="H174" s="4">
        <v>46053.46234519676</v>
      </c>
      <c r="I174" s="5">
        <f>IF(C174 = "Smile", H174 + 'Over View'!$B$3, IF(C174 = "Bianco" , H174 + 'Over View'!$B$4, IF(C174 = "Giallo" , H174 + 'Over View'!$B$5, IF(C174 = "Blu" , H174 + 'Over View'!$B$6, IF(C174 = "Verde" , H174 + 'Over View'!$B$7, IF(C174 = "Rosso" , H174 + 'Over View'!$B$8, "Grado Non Inserito") )))))</f>
        <v>46067.46235</v>
      </c>
      <c r="J174" s="4"/>
      <c r="K174" s="6" t="s">
        <v>15</v>
      </c>
      <c r="L174" s="2"/>
    </row>
    <row r="175">
      <c r="A175" s="3">
        <v>174.0</v>
      </c>
      <c r="B175" s="3" t="b">
        <v>1</v>
      </c>
      <c r="C175" s="3" t="s">
        <v>21</v>
      </c>
      <c r="E175" s="3" t="s">
        <v>12</v>
      </c>
      <c r="F175" s="3" t="s">
        <v>28</v>
      </c>
      <c r="G175" s="3" t="s">
        <v>24</v>
      </c>
      <c r="H175" s="4">
        <v>46050.0</v>
      </c>
      <c r="I175" s="5">
        <f>IF(C175 = "Smile", H175 + 'Over View'!$B$3, IF(C175 = "Bianco" , H175 + 'Over View'!$B$4, IF(C175 = "Giallo" , H175 + 'Over View'!$B$5, IF(C175 = "Blu" , H175 + 'Over View'!$B$6, IF(C175 = "Verde" , H175 + 'Over View'!$B$7, IF(C175 = "Rosso" , H175 + 'Over View'!$B$8, "Grado Non Inserito") )))))</f>
        <v>46064</v>
      </c>
      <c r="J175" s="4"/>
      <c r="K175" s="6" t="s">
        <v>15</v>
      </c>
      <c r="L175" s="2"/>
    </row>
    <row r="176">
      <c r="A176" s="3">
        <v>175.0</v>
      </c>
      <c r="B176" s="3" t="b">
        <v>1</v>
      </c>
      <c r="C176" s="3" t="s">
        <v>18</v>
      </c>
      <c r="D176" s="2"/>
      <c r="E176" s="3" t="s">
        <v>19</v>
      </c>
      <c r="F176" s="3" t="s">
        <v>32</v>
      </c>
      <c r="G176" s="3" t="s">
        <v>24</v>
      </c>
      <c r="H176" s="4">
        <v>46050.0</v>
      </c>
      <c r="I176" s="5">
        <f>IF(C176 = "Smile", H176 + 'Over View'!$B$3, IF(C176 = "Bianco" , H176 + 'Over View'!$B$4, IF(C176 = "Giallo" , H176 + 'Over View'!$B$5, IF(C176 = "Blu" , H176 + 'Over View'!$B$6, IF(C176 = "Verde" , H176 + 'Over View'!$B$7, IF(C176 = "Rosso" , H176 + 'Over View'!$B$8, "Grado Non Inserito") )))))</f>
        <v>46080</v>
      </c>
      <c r="J176" s="4"/>
      <c r="K176" s="6" t="s">
        <v>15</v>
      </c>
      <c r="L176" s="2"/>
    </row>
    <row r="177">
      <c r="A177" s="3">
        <v>176.0</v>
      </c>
      <c r="B177" s="3" t="b">
        <v>1</v>
      </c>
      <c r="C177" s="3" t="s">
        <v>18</v>
      </c>
      <c r="D177" s="2"/>
      <c r="E177" s="3" t="s">
        <v>19</v>
      </c>
      <c r="F177" s="3" t="s">
        <v>20</v>
      </c>
      <c r="G177" s="3" t="s">
        <v>24</v>
      </c>
      <c r="H177" s="4">
        <v>46050.0</v>
      </c>
      <c r="I177" s="5">
        <f>IF(C177 = "Smile", H177 + 'Over View'!$B$3, IF(C177 = "Bianco" , H177 + 'Over View'!$B$4, IF(C177 = "Giallo" , H177 + 'Over View'!$B$5, IF(C177 = "Blu" , H177 + 'Over View'!$B$6, IF(C177 = "Verde" , H177 + 'Over View'!$B$7, IF(C177 = "Rosso" , H177 + 'Over View'!$B$8, "Grado Non Inserito") )))))</f>
        <v>46080</v>
      </c>
      <c r="J177" s="4"/>
      <c r="K177" s="6" t="s">
        <v>15</v>
      </c>
      <c r="L177" s="2"/>
    </row>
    <row r="178">
      <c r="A178" s="3">
        <v>177.0</v>
      </c>
      <c r="B178" s="3" t="b">
        <v>1</v>
      </c>
      <c r="C178" s="3" t="s">
        <v>12</v>
      </c>
      <c r="D178" s="2"/>
      <c r="E178" s="3" t="s">
        <v>19</v>
      </c>
      <c r="F178" s="3" t="s">
        <v>30</v>
      </c>
      <c r="G178" s="3" t="s">
        <v>24</v>
      </c>
      <c r="H178" s="4">
        <v>46050.0</v>
      </c>
      <c r="I178" s="5">
        <f>IF(C178 = "Smile", H178 + 'Over View'!$B$3, IF(C178 = "Bianco" , H178 + 'Over View'!$B$4, IF(C178 = "Giallo" , H178 + 'Over View'!$B$5, IF(C178 = "Blu" , H178 + 'Over View'!$B$6, IF(C178 = "Verde" , H178 + 'Over View'!$B$7, IF(C178 = "Rosso" , H178 + 'Over View'!$B$8, "Grado Non Inserito") )))))</f>
        <v>46080</v>
      </c>
      <c r="J178" s="4"/>
      <c r="K178" s="6" t="s">
        <v>15</v>
      </c>
      <c r="L178" s="2"/>
    </row>
    <row r="179">
      <c r="A179" s="3">
        <v>178.0</v>
      </c>
      <c r="B179" s="3" t="b">
        <v>0</v>
      </c>
      <c r="C179" s="9"/>
      <c r="D179" s="2"/>
      <c r="E179" s="10"/>
      <c r="F179" s="8"/>
      <c r="G179" s="8"/>
      <c r="H179" s="4"/>
      <c r="I179" s="9" t="str">
        <f>IF(C179 = "Smile", H179 + 'Over View'!$B$3, IF(C179 = "Bianco" , H179 + 'Over View'!$B$4, IF(C179 = "Giallo" , H179 + 'Over View'!$B$5, IF(C179 = "Blu" , H179 + 'Over View'!$B$6, IF(C179 = "Verde" , H179 + 'Over View'!$B$7, IF(C179 = "Rosso" , H179 + 'Over View'!$B$8, "Grado Non Inserito") )))))</f>
        <v>Grado Non Inserito</v>
      </c>
      <c r="J179" s="4"/>
      <c r="K179" s="7"/>
      <c r="L179" s="2"/>
    </row>
    <row r="180">
      <c r="A180" s="3">
        <v>179.0</v>
      </c>
      <c r="B180" s="3" t="b">
        <v>0</v>
      </c>
      <c r="C180" s="9"/>
      <c r="D180" s="2"/>
      <c r="E180" s="10"/>
      <c r="F180" s="8"/>
      <c r="G180" s="8"/>
      <c r="H180" s="4"/>
      <c r="I180" s="9" t="str">
        <f>IF(C180 = "Smile", H180 + 'Over View'!$B$3, IF(C180 = "Bianco" , H180 + 'Over View'!$B$4, IF(C180 = "Giallo" , H180 + 'Over View'!$B$5, IF(C180 = "Blu" , H180 + 'Over View'!$B$6, IF(C180 = "Verde" , H180 + 'Over View'!$B$7, IF(C180 = "Rosso" , H180 + 'Over View'!$B$8, "Grado Non Inserito") )))))</f>
        <v>Grado Non Inserito</v>
      </c>
      <c r="J180" s="4"/>
      <c r="K180" s="7"/>
      <c r="L180" s="2"/>
    </row>
    <row r="181">
      <c r="A181" s="3">
        <v>180.0</v>
      </c>
      <c r="B181" s="3" t="b">
        <v>0</v>
      </c>
      <c r="C181" s="9"/>
      <c r="D181" s="2"/>
      <c r="E181" s="10"/>
      <c r="F181" s="8"/>
      <c r="G181" s="8"/>
      <c r="H181" s="4"/>
      <c r="I181" s="9" t="str">
        <f>IF(C181 = "Smile", H181 + 'Over View'!$B$3, IF(C181 = "Bianco" , H181 + 'Over View'!$B$4, IF(C181 = "Giallo" , H181 + 'Over View'!$B$5, IF(C181 = "Blu" , H181 + 'Over View'!$B$6, IF(C181 = "Verde" , H181 + 'Over View'!$B$7, IF(C181 = "Rosso" , H181 + 'Over View'!$B$8, "Grado Non Inserito") )))))</f>
        <v>Grado Non Inserito</v>
      </c>
      <c r="J181" s="4"/>
      <c r="K181" s="7"/>
      <c r="L181" s="2"/>
    </row>
    <row r="182">
      <c r="A182" s="3">
        <v>181.0</v>
      </c>
      <c r="B182" s="3" t="b">
        <v>0</v>
      </c>
      <c r="C182" s="9"/>
      <c r="D182" s="2"/>
      <c r="E182" s="10"/>
      <c r="F182" s="8"/>
      <c r="G182" s="8"/>
      <c r="H182" s="4"/>
      <c r="I182" s="9" t="str">
        <f>IF(C182 = "Smile", H182 + 'Over View'!$B$3, IF(C182 = "Bianco" , H182 + 'Over View'!$B$4, IF(C182 = "Giallo" , H182 + 'Over View'!$B$5, IF(C182 = "Blu" , H182 + 'Over View'!$B$6, IF(C182 = "Verde" , H182 + 'Over View'!$B$7, IF(C182 = "Rosso" , H182 + 'Over View'!$B$8, "Grado Non Inserito") )))))</f>
        <v>Grado Non Inserito</v>
      </c>
      <c r="J182" s="4"/>
      <c r="K182" s="7"/>
      <c r="L182" s="2"/>
    </row>
    <row r="183">
      <c r="A183" s="3">
        <v>182.0</v>
      </c>
      <c r="B183" s="3" t="b">
        <v>0</v>
      </c>
      <c r="C183" s="9"/>
      <c r="D183" s="2"/>
      <c r="E183" s="10"/>
      <c r="F183" s="8"/>
      <c r="G183" s="8"/>
      <c r="H183" s="4"/>
      <c r="I183" s="9" t="str">
        <f>IF(C183 = "Smile", H183 + 'Over View'!$B$3, IF(C183 = "Bianco" , H183 + 'Over View'!$B$4, IF(C183 = "Giallo" , H183 + 'Over View'!$B$5, IF(C183 = "Blu" , H183 + 'Over View'!$B$6, IF(C183 = "Verde" , H183 + 'Over View'!$B$7, IF(C183 = "Rosso" , H183 + 'Over View'!$B$8, "Grado Non Inserito") )))))</f>
        <v>Grado Non Inserito</v>
      </c>
      <c r="J183" s="4"/>
      <c r="K183" s="7"/>
      <c r="L183" s="2"/>
    </row>
    <row r="184">
      <c r="A184" s="3">
        <v>183.0</v>
      </c>
      <c r="B184" s="3" t="b">
        <v>0</v>
      </c>
      <c r="C184" s="9"/>
      <c r="D184" s="2"/>
      <c r="E184" s="10"/>
      <c r="F184" s="8"/>
      <c r="G184" s="8"/>
      <c r="H184" s="4"/>
      <c r="I184" s="9" t="str">
        <f>IF(C184 = "Smile", H184 + 'Over View'!$B$3, IF(C184 = "Bianco" , H184 + 'Over View'!$B$4, IF(C184 = "Giallo" , H184 + 'Over View'!$B$5, IF(C184 = "Blu" , H184 + 'Over View'!$B$6, IF(C184 = "Verde" , H184 + 'Over View'!$B$7, IF(C184 = "Rosso" , H184 + 'Over View'!$B$8, "Grado Non Inserito") )))))</f>
        <v>Grado Non Inserito</v>
      </c>
      <c r="J184" s="4"/>
      <c r="K184" s="7"/>
      <c r="L184" s="2"/>
    </row>
    <row r="185">
      <c r="A185" s="3">
        <v>184.0</v>
      </c>
      <c r="B185" s="3" t="b">
        <v>0</v>
      </c>
      <c r="C185" s="9"/>
      <c r="D185" s="2"/>
      <c r="E185" s="10"/>
      <c r="F185" s="8"/>
      <c r="G185" s="8"/>
      <c r="H185" s="4"/>
      <c r="I185" s="9" t="str">
        <f>IF(C185 = "Smile", H185 + 'Over View'!$B$3, IF(C185 = "Bianco" , H185 + 'Over View'!$B$4, IF(C185 = "Giallo" , H185 + 'Over View'!$B$5, IF(C185 = "Blu" , H185 + 'Over View'!$B$6, IF(C185 = "Verde" , H185 + 'Over View'!$B$7, IF(C185 = "Rosso" , H185 + 'Over View'!$B$8, "Grado Non Inserito") )))))</f>
        <v>Grado Non Inserito</v>
      </c>
      <c r="J185" s="4"/>
      <c r="K185" s="7"/>
      <c r="L185" s="2"/>
    </row>
    <row r="186">
      <c r="A186" s="3">
        <v>185.0</v>
      </c>
      <c r="B186" s="3" t="b">
        <v>0</v>
      </c>
      <c r="C186" s="9"/>
      <c r="D186" s="2"/>
      <c r="E186" s="10"/>
      <c r="F186" s="8"/>
      <c r="G186" s="8"/>
      <c r="H186" s="4"/>
      <c r="I186" s="9" t="str">
        <f>IF(C186 = "Smile", H186 + 'Over View'!$B$3, IF(C186 = "Bianco" , H186 + 'Over View'!$B$4, IF(C186 = "Giallo" , H186 + 'Over View'!$B$5, IF(C186 = "Blu" , H186 + 'Over View'!$B$6, IF(C186 = "Verde" , H186 + 'Over View'!$B$7, IF(C186 = "Rosso" , H186 + 'Over View'!$B$8, "Grado Non Inserito") )))))</f>
        <v>Grado Non Inserito</v>
      </c>
      <c r="J186" s="4"/>
      <c r="K186" s="7"/>
      <c r="L186" s="2"/>
    </row>
    <row r="187">
      <c r="A187" s="3">
        <v>186.0</v>
      </c>
      <c r="B187" s="3" t="b">
        <v>0</v>
      </c>
      <c r="C187" s="9"/>
      <c r="D187" s="2"/>
      <c r="E187" s="10"/>
      <c r="F187" s="8"/>
      <c r="G187" s="8"/>
      <c r="H187" s="4"/>
      <c r="I187" s="9" t="str">
        <f>IF(C187 = "Smile", H187 + 'Over View'!$B$3, IF(C187 = "Bianco" , H187 + 'Over View'!$B$4, IF(C187 = "Giallo" , H187 + 'Over View'!$B$5, IF(C187 = "Blu" , H187 + 'Over View'!$B$6, IF(C187 = "Verde" , H187 + 'Over View'!$B$7, IF(C187 = "Rosso" , H187 + 'Over View'!$B$8, "Grado Non Inserito") )))))</f>
        <v>Grado Non Inserito</v>
      </c>
      <c r="J187" s="4"/>
      <c r="K187" s="7"/>
      <c r="L187" s="2"/>
    </row>
    <row r="188">
      <c r="A188" s="3">
        <v>187.0</v>
      </c>
      <c r="B188" s="3" t="b">
        <v>0</v>
      </c>
      <c r="C188" s="9"/>
      <c r="D188" s="2"/>
      <c r="E188" s="10"/>
      <c r="F188" s="8"/>
      <c r="G188" s="8"/>
      <c r="H188" s="4"/>
      <c r="I188" s="9" t="str">
        <f>IF(C188 = "Smile", H188 + 'Over View'!$B$3, IF(C188 = "Bianco" , H188 + 'Over View'!$B$4, IF(C188 = "Giallo" , H188 + 'Over View'!$B$5, IF(C188 = "Blu" , H188 + 'Over View'!$B$6, IF(C188 = "Verde" , H188 + 'Over View'!$B$7, IF(C188 = "Rosso" , H188 + 'Over View'!$B$8, "Grado Non Inserito") )))))</f>
        <v>Grado Non Inserito</v>
      </c>
      <c r="J188" s="4"/>
      <c r="K188" s="7"/>
      <c r="L188" s="2"/>
    </row>
    <row r="189">
      <c r="A189" s="3">
        <v>188.0</v>
      </c>
      <c r="B189" s="3" t="b">
        <v>0</v>
      </c>
      <c r="C189" s="9"/>
      <c r="D189" s="2"/>
      <c r="E189" s="10"/>
      <c r="F189" s="8"/>
      <c r="G189" s="8"/>
      <c r="H189" s="4"/>
      <c r="I189" s="9" t="str">
        <f>IF(C189 = "Smile", H189 + 'Over View'!$B$3, IF(C189 = "Bianco" , H189 + 'Over View'!$B$4, IF(C189 = "Giallo" , H189 + 'Over View'!$B$5, IF(C189 = "Blu" , H189 + 'Over View'!$B$6, IF(C189 = "Verde" , H189 + 'Over View'!$B$7, IF(C189 = "Rosso" , H189 + 'Over View'!$B$8, "Grado Non Inserito") )))))</f>
        <v>Grado Non Inserito</v>
      </c>
      <c r="J189" s="4"/>
      <c r="K189" s="7"/>
      <c r="L189" s="2"/>
    </row>
    <row r="190">
      <c r="A190" s="3">
        <v>189.0</v>
      </c>
      <c r="B190" s="3" t="b">
        <v>0</v>
      </c>
      <c r="C190" s="9"/>
      <c r="D190" s="2"/>
      <c r="E190" s="10"/>
      <c r="F190" s="8"/>
      <c r="G190" s="8"/>
      <c r="H190" s="4"/>
      <c r="I190" s="9" t="str">
        <f>IF(C190 = "Smile", H190 + 'Over View'!$B$3, IF(C190 = "Bianco" , H190 + 'Over View'!$B$4, IF(C190 = "Giallo" , H190 + 'Over View'!$B$5, IF(C190 = "Blu" , H190 + 'Over View'!$B$6, IF(C190 = "Verde" , H190 + 'Over View'!$B$7, IF(C190 = "Rosso" , H190 + 'Over View'!$B$8, "Grado Non Inserito") )))))</f>
        <v>Grado Non Inserito</v>
      </c>
      <c r="J190" s="4"/>
      <c r="K190" s="7"/>
      <c r="L190" s="2"/>
    </row>
    <row r="191">
      <c r="A191" s="3">
        <v>190.0</v>
      </c>
      <c r="B191" s="3" t="b">
        <v>0</v>
      </c>
      <c r="C191" s="9"/>
      <c r="D191" s="2"/>
      <c r="E191" s="10"/>
      <c r="F191" s="8"/>
      <c r="G191" s="8"/>
      <c r="H191" s="4"/>
      <c r="I191" s="9" t="str">
        <f>IF(C191 = "Smile", H191 + 'Over View'!$B$3, IF(C191 = "Bianco" , H191 + 'Over View'!$B$4, IF(C191 = "Giallo" , H191 + 'Over View'!$B$5, IF(C191 = "Blu" , H191 + 'Over View'!$B$6, IF(C191 = "Verde" , H191 + 'Over View'!$B$7, IF(C191 = "Rosso" , H191 + 'Over View'!$B$8, "Grado Non Inserito") )))))</f>
        <v>Grado Non Inserito</v>
      </c>
      <c r="J191" s="4"/>
      <c r="K191" s="7"/>
      <c r="L191" s="2"/>
    </row>
    <row r="192">
      <c r="A192" s="3">
        <v>191.0</v>
      </c>
      <c r="B192" s="3" t="b">
        <v>0</v>
      </c>
      <c r="C192" s="9"/>
      <c r="D192" s="2"/>
      <c r="E192" s="10"/>
      <c r="F192" s="8"/>
      <c r="G192" s="8"/>
      <c r="H192" s="4"/>
      <c r="I192" s="9" t="str">
        <f>IF(C192 = "Smile", H192 + 'Over View'!$B$3, IF(C192 = "Bianco" , H192 + 'Over View'!$B$4, IF(C192 = "Giallo" , H192 + 'Over View'!$B$5, IF(C192 = "Blu" , H192 + 'Over View'!$B$6, IF(C192 = "Verde" , H192 + 'Over View'!$B$7, IF(C192 = "Rosso" , H192 + 'Over View'!$B$8, "Grado Non Inserito") )))))</f>
        <v>Grado Non Inserito</v>
      </c>
      <c r="J192" s="4"/>
      <c r="K192" s="7"/>
      <c r="L192" s="2"/>
    </row>
    <row r="193">
      <c r="A193" s="3">
        <v>192.0</v>
      </c>
      <c r="B193" s="3" t="b">
        <v>0</v>
      </c>
      <c r="C193" s="9"/>
      <c r="D193" s="2"/>
      <c r="E193" s="10"/>
      <c r="F193" s="8"/>
      <c r="G193" s="8"/>
      <c r="H193" s="4"/>
      <c r="I193" s="9" t="str">
        <f>IF(C193 = "Smile", H193 + 'Over View'!$B$3, IF(C193 = "Bianco" , H193 + 'Over View'!$B$4, IF(C193 = "Giallo" , H193 + 'Over View'!$B$5, IF(C193 = "Blu" , H193 + 'Over View'!$B$6, IF(C193 = "Verde" , H193 + 'Over View'!$B$7, IF(C193 = "Rosso" , H193 + 'Over View'!$B$8, "Grado Non Inserito") )))))</f>
        <v>Grado Non Inserito</v>
      </c>
      <c r="J193" s="4"/>
      <c r="K193" s="7"/>
      <c r="L193" s="2"/>
    </row>
    <row r="194">
      <c r="A194" s="3">
        <v>193.0</v>
      </c>
      <c r="B194" s="3" t="b">
        <v>0</v>
      </c>
      <c r="C194" s="9"/>
      <c r="D194" s="2"/>
      <c r="E194" s="10"/>
      <c r="F194" s="8"/>
      <c r="G194" s="8"/>
      <c r="H194" s="4"/>
      <c r="I194" s="9" t="str">
        <f>IF(C194 = "Smile", H194 + 'Over View'!$B$3, IF(C194 = "Bianco" , H194 + 'Over View'!$B$4, IF(C194 = "Giallo" , H194 + 'Over View'!$B$5, IF(C194 = "Blu" , H194 + 'Over View'!$B$6, IF(C194 = "Verde" , H194 + 'Over View'!$B$7, IF(C194 = "Rosso" , H194 + 'Over View'!$B$8, "Grado Non Inserito") )))))</f>
        <v>Grado Non Inserito</v>
      </c>
      <c r="J194" s="4"/>
      <c r="K194" s="7"/>
      <c r="L194" s="2"/>
    </row>
    <row r="195">
      <c r="A195" s="3">
        <v>194.0</v>
      </c>
      <c r="B195" s="3" t="b">
        <v>0</v>
      </c>
      <c r="C195" s="9"/>
      <c r="D195" s="2"/>
      <c r="E195" s="10"/>
      <c r="F195" s="8"/>
      <c r="G195" s="8"/>
      <c r="H195" s="4"/>
      <c r="I195" s="9" t="str">
        <f>IF(C195 = "Smile", H195 + 'Over View'!$B$3, IF(C195 = "Bianco" , H195 + 'Over View'!$B$4, IF(C195 = "Giallo" , H195 + 'Over View'!$B$5, IF(C195 = "Blu" , H195 + 'Over View'!$B$6, IF(C195 = "Verde" , H195 + 'Over View'!$B$7, IF(C195 = "Rosso" , H195 + 'Over View'!$B$8, "Grado Non Inserito") )))))</f>
        <v>Grado Non Inserito</v>
      </c>
      <c r="J195" s="4"/>
      <c r="K195" s="7"/>
      <c r="L195" s="2"/>
    </row>
    <row r="196">
      <c r="A196" s="3">
        <v>195.0</v>
      </c>
      <c r="B196" s="3" t="b">
        <v>0</v>
      </c>
      <c r="C196" s="9"/>
      <c r="D196" s="2"/>
      <c r="E196" s="10"/>
      <c r="F196" s="8"/>
      <c r="G196" s="8"/>
      <c r="H196" s="4"/>
      <c r="I196" s="9" t="str">
        <f>IF(C196 = "Smile", H196 + 'Over View'!$B$3, IF(C196 = "Bianco" , H196 + 'Over View'!$B$4, IF(C196 = "Giallo" , H196 + 'Over View'!$B$5, IF(C196 = "Blu" , H196 + 'Over View'!$B$6, IF(C196 = "Verde" , H196 + 'Over View'!$B$7, IF(C196 = "Rosso" , H196 + 'Over View'!$B$8, "Grado Non Inserito") )))))</f>
        <v>Grado Non Inserito</v>
      </c>
      <c r="J196" s="4"/>
      <c r="K196" s="7"/>
      <c r="L196" s="2"/>
    </row>
    <row r="197">
      <c r="A197" s="3">
        <v>196.0</v>
      </c>
      <c r="B197" s="3" t="b">
        <v>0</v>
      </c>
      <c r="C197" s="9"/>
      <c r="D197" s="2"/>
      <c r="E197" s="10"/>
      <c r="F197" s="8"/>
      <c r="G197" s="8"/>
      <c r="H197" s="4"/>
      <c r="I197" s="9" t="str">
        <f>IF(C197 = "Smile", H197 + 'Over View'!$B$3, IF(C197 = "Bianco" , H197 + 'Over View'!$B$4, IF(C197 = "Giallo" , H197 + 'Over View'!$B$5, IF(C197 = "Blu" , H197 + 'Over View'!$B$6, IF(C197 = "Verde" , H197 + 'Over View'!$B$7, IF(C197 = "Rosso" , H197 + 'Over View'!$B$8, "Grado Non Inserito") )))))</f>
        <v>Grado Non Inserito</v>
      </c>
      <c r="J197" s="4"/>
      <c r="K197" s="7"/>
      <c r="L197" s="2"/>
    </row>
    <row r="198">
      <c r="A198" s="3">
        <v>197.0</v>
      </c>
      <c r="B198" s="3" t="b">
        <v>0</v>
      </c>
      <c r="C198" s="9"/>
      <c r="D198" s="2"/>
      <c r="E198" s="10"/>
      <c r="F198" s="8"/>
      <c r="G198" s="8"/>
      <c r="H198" s="4"/>
      <c r="I198" s="9" t="str">
        <f>IF(C198 = "Smile", H198 + 'Over View'!$B$3, IF(C198 = "Bianco" , H198 + 'Over View'!$B$4, IF(C198 = "Giallo" , H198 + 'Over View'!$B$5, IF(C198 = "Blu" , H198 + 'Over View'!$B$6, IF(C198 = "Verde" , H198 + 'Over View'!$B$7, IF(C198 = "Rosso" , H198 + 'Over View'!$B$8, "Grado Non Inserito") )))))</f>
        <v>Grado Non Inserito</v>
      </c>
      <c r="J198" s="4"/>
      <c r="K198" s="7"/>
      <c r="L198" s="2"/>
    </row>
    <row r="199">
      <c r="A199" s="3">
        <v>198.0</v>
      </c>
      <c r="B199" s="3" t="b">
        <v>0</v>
      </c>
      <c r="C199" s="9"/>
      <c r="D199" s="2"/>
      <c r="E199" s="10"/>
      <c r="F199" s="8"/>
      <c r="G199" s="8"/>
      <c r="H199" s="4"/>
      <c r="I199" s="9" t="str">
        <f>IF(C199 = "Smile", H199 + 'Over View'!$B$3, IF(C199 = "Bianco" , H199 + 'Over View'!$B$4, IF(C199 = "Giallo" , H199 + 'Over View'!$B$5, IF(C199 = "Blu" , H199 + 'Over View'!$B$6, IF(C199 = "Verde" , H199 + 'Over View'!$B$7, IF(C199 = "Rosso" , H199 + 'Over View'!$B$8, "Grado Non Inserito") )))))</f>
        <v>Grado Non Inserito</v>
      </c>
      <c r="J199" s="4"/>
      <c r="K199" s="7"/>
      <c r="L199" s="2"/>
    </row>
    <row r="200">
      <c r="A200" s="3">
        <v>199.0</v>
      </c>
      <c r="B200" s="3" t="b">
        <v>0</v>
      </c>
      <c r="C200" s="9"/>
      <c r="D200" s="2"/>
      <c r="E200" s="10"/>
      <c r="F200" s="8"/>
      <c r="G200" s="8"/>
      <c r="H200" s="4"/>
      <c r="I200" s="9" t="str">
        <f>IF(C200 = "Smile", H200 + 'Over View'!$B$3, IF(C200 = "Bianco" , H200 + 'Over View'!$B$4, IF(C200 = "Giallo" , H200 + 'Over View'!$B$5, IF(C200 = "Blu" , H200 + 'Over View'!$B$6, IF(C200 = "Verde" , H200 + 'Over View'!$B$7, IF(C200 = "Rosso" , H200 + 'Over View'!$B$8, "Grado Non Inserito") )))))</f>
        <v>Grado Non Inserito</v>
      </c>
      <c r="J200" s="4"/>
      <c r="K200" s="7"/>
      <c r="L200" s="2"/>
    </row>
    <row r="201">
      <c r="A201" s="3">
        <v>200.0</v>
      </c>
      <c r="B201" s="3" t="b">
        <v>0</v>
      </c>
      <c r="C201" s="9"/>
      <c r="D201" s="2"/>
      <c r="E201" s="10"/>
      <c r="F201" s="8"/>
      <c r="G201" s="8"/>
      <c r="H201" s="4"/>
      <c r="I201" s="9" t="str">
        <f>IF(C201 = "Smile", H201 + 'Over View'!$B$3, IF(C201 = "Bianco" , H201 + 'Over View'!$B$4, IF(C201 = "Giallo" , H201 + 'Over View'!$B$5, IF(C201 = "Blu" , H201 + 'Over View'!$B$6, IF(C201 = "Verde" , H201 + 'Over View'!$B$7, IF(C201 = "Rosso" , H201 + 'Over View'!$B$8, "Grado Non Inserito") )))))</f>
        <v>Grado Non Inserito</v>
      </c>
      <c r="J201" s="4"/>
      <c r="K201" s="7"/>
      <c r="L201" s="2"/>
    </row>
    <row r="202">
      <c r="A202" s="3">
        <v>201.0</v>
      </c>
      <c r="B202" s="3" t="b">
        <v>0</v>
      </c>
      <c r="C202" s="9"/>
      <c r="D202" s="2"/>
      <c r="E202" s="10"/>
      <c r="F202" s="8"/>
      <c r="G202" s="8"/>
      <c r="H202" s="4"/>
      <c r="I202" s="9" t="str">
        <f>IF(C202 = "Smile", H202 + 'Over View'!$B$3, IF(C202 = "Bianco" , H202 + 'Over View'!$B$4, IF(C202 = "Giallo" , H202 + 'Over View'!$B$5, IF(C202 = "Blu" , H202 + 'Over View'!$B$6, IF(C202 = "Verde" , H202 + 'Over View'!$B$7, IF(C202 = "Rosso" , H202 + 'Over View'!$B$8, "Grado Non Inserito") )))))</f>
        <v>Grado Non Inserito</v>
      </c>
      <c r="J202" s="4"/>
      <c r="K202" s="7"/>
      <c r="L202" s="2"/>
    </row>
    <row r="203">
      <c r="A203" s="3">
        <v>202.0</v>
      </c>
      <c r="B203" s="3" t="b">
        <v>0</v>
      </c>
      <c r="C203" s="9"/>
      <c r="D203" s="2"/>
      <c r="E203" s="10"/>
      <c r="F203" s="8"/>
      <c r="G203" s="8"/>
      <c r="H203" s="4"/>
      <c r="I203" s="9" t="str">
        <f>IF(C203 = "Smile", H203 + 'Over View'!$B$3, IF(C203 = "Bianco" , H203 + 'Over View'!$B$4, IF(C203 = "Giallo" , H203 + 'Over View'!$B$5, IF(C203 = "Blu" , H203 + 'Over View'!$B$6, IF(C203 = "Verde" , H203 + 'Over View'!$B$7, IF(C203 = "Rosso" , H203 + 'Over View'!$B$8, "Grado Non Inserito") )))))</f>
        <v>Grado Non Inserito</v>
      </c>
      <c r="J203" s="4"/>
      <c r="K203" s="7"/>
      <c r="L203" s="2"/>
    </row>
    <row r="204">
      <c r="A204" s="3">
        <v>203.0</v>
      </c>
      <c r="B204" s="3" t="b">
        <v>0</v>
      </c>
      <c r="C204" s="9"/>
      <c r="D204" s="2"/>
      <c r="E204" s="10"/>
      <c r="F204" s="8"/>
      <c r="G204" s="8"/>
      <c r="H204" s="4"/>
      <c r="I204" s="9" t="str">
        <f>IF(C204 = "Smile", H204 + 'Over View'!$B$3, IF(C204 = "Bianco" , H204 + 'Over View'!$B$4, IF(C204 = "Giallo" , H204 + 'Over View'!$B$5, IF(C204 = "Blu" , H204 + 'Over View'!$B$6, IF(C204 = "Verde" , H204 + 'Over View'!$B$7, IF(C204 = "Rosso" , H204 + 'Over View'!$B$8, "Grado Non Inserito") )))))</f>
        <v>Grado Non Inserito</v>
      </c>
      <c r="J204" s="4"/>
      <c r="K204" s="7"/>
      <c r="L204" s="2"/>
    </row>
    <row r="205">
      <c r="A205" s="3">
        <v>204.0</v>
      </c>
      <c r="B205" s="3" t="b">
        <v>0</v>
      </c>
      <c r="C205" s="9"/>
      <c r="D205" s="2"/>
      <c r="E205" s="10"/>
      <c r="F205" s="8"/>
      <c r="G205" s="8"/>
      <c r="H205" s="4"/>
      <c r="I205" s="9" t="str">
        <f>IF(C205 = "Smile", H205 + 'Over View'!$B$3, IF(C205 = "Bianco" , H205 + 'Over View'!$B$4, IF(C205 = "Giallo" , H205 + 'Over View'!$B$5, IF(C205 = "Blu" , H205 + 'Over View'!$B$6, IF(C205 = "Verde" , H205 + 'Over View'!$B$7, IF(C205 = "Rosso" , H205 + 'Over View'!$B$8, "Grado Non Inserito") )))))</f>
        <v>Grado Non Inserito</v>
      </c>
      <c r="J205" s="4"/>
      <c r="K205" s="7"/>
      <c r="L205" s="2"/>
    </row>
    <row r="206">
      <c r="A206" s="3">
        <v>205.0</v>
      </c>
      <c r="B206" s="3" t="b">
        <v>0</v>
      </c>
      <c r="C206" s="9"/>
      <c r="D206" s="2"/>
      <c r="E206" s="10"/>
      <c r="F206" s="8"/>
      <c r="G206" s="8"/>
      <c r="H206" s="4"/>
      <c r="I206" s="9" t="str">
        <f>IF(C206 = "Smile", H206 + 'Over View'!$B$3, IF(C206 = "Bianco" , H206 + 'Over View'!$B$4, IF(C206 = "Giallo" , H206 + 'Over View'!$B$5, IF(C206 = "Blu" , H206 + 'Over View'!$B$6, IF(C206 = "Verde" , H206 + 'Over View'!$B$7, IF(C206 = "Rosso" , H206 + 'Over View'!$B$8, "Grado Non Inserito") )))))</f>
        <v>Grado Non Inserito</v>
      </c>
      <c r="J206" s="4"/>
      <c r="K206" s="7"/>
      <c r="L206" s="2"/>
    </row>
    <row r="207">
      <c r="A207" s="3">
        <v>206.0</v>
      </c>
      <c r="B207" s="3" t="b">
        <v>0</v>
      </c>
      <c r="C207" s="9"/>
      <c r="D207" s="2"/>
      <c r="E207" s="10"/>
      <c r="F207" s="8"/>
      <c r="G207" s="8"/>
      <c r="H207" s="4"/>
      <c r="I207" s="9" t="str">
        <f>IF(C207 = "Smile", H207 + 'Over View'!$B$3, IF(C207 = "Bianco" , H207 + 'Over View'!$B$4, IF(C207 = "Giallo" , H207 + 'Over View'!$B$5, IF(C207 = "Blu" , H207 + 'Over View'!$B$6, IF(C207 = "Verde" , H207 + 'Over View'!$B$7, IF(C207 = "Rosso" , H207 + 'Over View'!$B$8, "Grado Non Inserito") )))))</f>
        <v>Grado Non Inserito</v>
      </c>
      <c r="J207" s="4"/>
      <c r="K207" s="7"/>
      <c r="L207" s="2"/>
    </row>
    <row r="208">
      <c r="A208" s="3">
        <v>207.0</v>
      </c>
      <c r="B208" s="3" t="b">
        <v>0</v>
      </c>
      <c r="C208" s="9"/>
      <c r="D208" s="2"/>
      <c r="E208" s="10"/>
      <c r="F208" s="8"/>
      <c r="G208" s="8"/>
      <c r="H208" s="4"/>
      <c r="I208" s="9" t="str">
        <f>IF(C208 = "Smile", H208 + 'Over View'!$B$3, IF(C208 = "Bianco" , H208 + 'Over View'!$B$4, IF(C208 = "Giallo" , H208 + 'Over View'!$B$5, IF(C208 = "Blu" , H208 + 'Over View'!$B$6, IF(C208 = "Verde" , H208 + 'Over View'!$B$7, IF(C208 = "Rosso" , H208 + 'Over View'!$B$8, "Grado Non Inserito") )))))</f>
        <v>Grado Non Inserito</v>
      </c>
      <c r="J208" s="4"/>
      <c r="K208" s="7"/>
      <c r="L208" s="2"/>
    </row>
    <row r="209">
      <c r="A209" s="3">
        <v>208.0</v>
      </c>
      <c r="B209" s="3" t="b">
        <v>0</v>
      </c>
      <c r="C209" s="9"/>
      <c r="D209" s="2"/>
      <c r="E209" s="10"/>
      <c r="F209" s="8"/>
      <c r="G209" s="8"/>
      <c r="H209" s="4"/>
      <c r="I209" s="9" t="str">
        <f>IF(C209 = "Smile", H209 + 'Over View'!$B$3, IF(C209 = "Bianco" , H209 + 'Over View'!$B$4, IF(C209 = "Giallo" , H209 + 'Over View'!$B$5, IF(C209 = "Blu" , H209 + 'Over View'!$B$6, IF(C209 = "Verde" , H209 + 'Over View'!$B$7, IF(C209 = "Rosso" , H209 + 'Over View'!$B$8, "Grado Non Inserito") )))))</f>
        <v>Grado Non Inserito</v>
      </c>
      <c r="J209" s="4"/>
      <c r="K209" s="7"/>
      <c r="L209" s="2"/>
    </row>
    <row r="210">
      <c r="A210" s="3">
        <v>209.0</v>
      </c>
      <c r="B210" s="3" t="b">
        <v>0</v>
      </c>
      <c r="C210" s="9"/>
      <c r="D210" s="2"/>
      <c r="E210" s="10"/>
      <c r="F210" s="8"/>
      <c r="G210" s="8"/>
      <c r="H210" s="4"/>
      <c r="I210" s="9" t="str">
        <f>IF(C210 = "Smile", H210 + 'Over View'!$B$3, IF(C210 = "Bianco" , H210 + 'Over View'!$B$4, IF(C210 = "Giallo" , H210 + 'Over View'!$B$5, IF(C210 = "Blu" , H210 + 'Over View'!$B$6, IF(C210 = "Verde" , H210 + 'Over View'!$B$7, IF(C210 = "Rosso" , H210 + 'Over View'!$B$8, "Grado Non Inserito") )))))</f>
        <v>Grado Non Inserito</v>
      </c>
      <c r="J210" s="4"/>
      <c r="K210" s="7"/>
      <c r="L210" s="2"/>
    </row>
    <row r="211">
      <c r="A211" s="3">
        <v>210.0</v>
      </c>
      <c r="B211" s="3" t="b">
        <v>0</v>
      </c>
      <c r="C211" s="9"/>
      <c r="D211" s="2"/>
      <c r="E211" s="10"/>
      <c r="F211" s="8"/>
      <c r="G211" s="8"/>
      <c r="H211" s="4"/>
      <c r="I211" s="9" t="str">
        <f>IF(C211 = "Smile", H211 + 'Over View'!$B$3, IF(C211 = "Bianco" , H211 + 'Over View'!$B$4, IF(C211 = "Giallo" , H211 + 'Over View'!$B$5, IF(C211 = "Blu" , H211 + 'Over View'!$B$6, IF(C211 = "Verde" , H211 + 'Over View'!$B$7, IF(C211 = "Rosso" , H211 + 'Over View'!$B$8, "Grado Non Inserito") )))))</f>
        <v>Grado Non Inserito</v>
      </c>
      <c r="J211" s="4"/>
      <c r="K211" s="7"/>
      <c r="L211" s="2"/>
    </row>
    <row r="212">
      <c r="A212" s="3">
        <v>211.0</v>
      </c>
      <c r="B212" s="3" t="b">
        <v>0</v>
      </c>
      <c r="C212" s="9"/>
      <c r="D212" s="2"/>
      <c r="E212" s="10"/>
      <c r="F212" s="8"/>
      <c r="G212" s="8"/>
      <c r="H212" s="4"/>
      <c r="I212" s="9" t="str">
        <f>IF(C212 = "Smile", H212 + 'Over View'!$B$3, IF(C212 = "Bianco" , H212 + 'Over View'!$B$4, IF(C212 = "Giallo" , H212 + 'Over View'!$B$5, IF(C212 = "Blu" , H212 + 'Over View'!$B$6, IF(C212 = "Verde" , H212 + 'Over View'!$B$7, IF(C212 = "Rosso" , H212 + 'Over View'!$B$8, "Grado Non Inserito") )))))</f>
        <v>Grado Non Inserito</v>
      </c>
      <c r="J212" s="4"/>
      <c r="K212" s="7"/>
      <c r="L212" s="2"/>
    </row>
    <row r="213">
      <c r="A213" s="3">
        <v>212.0</v>
      </c>
      <c r="B213" s="3" t="b">
        <v>0</v>
      </c>
      <c r="C213" s="9"/>
      <c r="D213" s="2"/>
      <c r="E213" s="10"/>
      <c r="F213" s="8"/>
      <c r="G213" s="8"/>
      <c r="H213" s="4"/>
      <c r="I213" s="9" t="str">
        <f>IF(C213 = "Smile", H213 + 'Over View'!$B$3, IF(C213 = "Bianco" , H213 + 'Over View'!$B$4, IF(C213 = "Giallo" , H213 + 'Over View'!$B$5, IF(C213 = "Blu" , H213 + 'Over View'!$B$6, IF(C213 = "Verde" , H213 + 'Over View'!$B$7, IF(C213 = "Rosso" , H213 + 'Over View'!$B$8, "Grado Non Inserito") )))))</f>
        <v>Grado Non Inserito</v>
      </c>
      <c r="J213" s="4"/>
      <c r="K213" s="7"/>
      <c r="L213" s="2"/>
    </row>
    <row r="214">
      <c r="A214" s="3">
        <v>213.0</v>
      </c>
      <c r="B214" s="3" t="b">
        <v>0</v>
      </c>
      <c r="C214" s="9"/>
      <c r="D214" s="2"/>
      <c r="E214" s="10"/>
      <c r="F214" s="8"/>
      <c r="G214" s="8"/>
      <c r="H214" s="4"/>
      <c r="I214" s="9" t="str">
        <f>IF(C214 = "Smile", H214 + 'Over View'!$B$3, IF(C214 = "Bianco" , H214 + 'Over View'!$B$4, IF(C214 = "Giallo" , H214 + 'Over View'!$B$5, IF(C214 = "Blu" , H214 + 'Over View'!$B$6, IF(C214 = "Verde" , H214 + 'Over View'!$B$7, IF(C214 = "Rosso" , H214 + 'Over View'!$B$8, "Grado Non Inserito") )))))</f>
        <v>Grado Non Inserito</v>
      </c>
      <c r="J214" s="4"/>
      <c r="K214" s="7"/>
      <c r="L214" s="2"/>
    </row>
    <row r="215">
      <c r="A215" s="3">
        <v>214.0</v>
      </c>
      <c r="B215" s="3" t="b">
        <v>0</v>
      </c>
      <c r="C215" s="9"/>
      <c r="D215" s="2"/>
      <c r="E215" s="10"/>
      <c r="F215" s="8"/>
      <c r="G215" s="8"/>
      <c r="H215" s="4"/>
      <c r="I215" s="9" t="str">
        <f>IF(C215 = "Smile", H215 + 'Over View'!$B$3, IF(C215 = "Bianco" , H215 + 'Over View'!$B$4, IF(C215 = "Giallo" , H215 + 'Over View'!$B$5, IF(C215 = "Blu" , H215 + 'Over View'!$B$6, IF(C215 = "Verde" , H215 + 'Over View'!$B$7, IF(C215 = "Rosso" , H215 + 'Over View'!$B$8, "Grado Non Inserito") )))))</f>
        <v>Grado Non Inserito</v>
      </c>
      <c r="J215" s="4"/>
      <c r="K215" s="7"/>
      <c r="L215" s="2"/>
    </row>
    <row r="216">
      <c r="A216" s="3">
        <v>215.0</v>
      </c>
      <c r="B216" s="3" t="b">
        <v>0</v>
      </c>
      <c r="C216" s="9"/>
      <c r="D216" s="2"/>
      <c r="E216" s="10"/>
      <c r="F216" s="8"/>
      <c r="G216" s="8"/>
      <c r="H216" s="4"/>
      <c r="I216" s="9" t="str">
        <f>IF(C216 = "Smile", H216 + 'Over View'!$B$3, IF(C216 = "Bianco" , H216 + 'Over View'!$B$4, IF(C216 = "Giallo" , H216 + 'Over View'!$B$5, IF(C216 = "Blu" , H216 + 'Over View'!$B$6, IF(C216 = "Verde" , H216 + 'Over View'!$B$7, IF(C216 = "Rosso" , H216 + 'Over View'!$B$8, "Grado Non Inserito") )))))</f>
        <v>Grado Non Inserito</v>
      </c>
      <c r="J216" s="4"/>
      <c r="K216" s="7"/>
      <c r="L216" s="2"/>
    </row>
    <row r="217">
      <c r="A217" s="3">
        <v>216.0</v>
      </c>
      <c r="B217" s="3" t="b">
        <v>0</v>
      </c>
      <c r="C217" s="9"/>
      <c r="D217" s="2"/>
      <c r="E217" s="10"/>
      <c r="F217" s="8"/>
      <c r="G217" s="8"/>
      <c r="H217" s="4"/>
      <c r="I217" s="9" t="str">
        <f>IF(C217 = "Smile", H217 + 'Over View'!$B$3, IF(C217 = "Bianco" , H217 + 'Over View'!$B$4, IF(C217 = "Giallo" , H217 + 'Over View'!$B$5, IF(C217 = "Blu" , H217 + 'Over View'!$B$6, IF(C217 = "Verde" , H217 + 'Over View'!$B$7, IF(C217 = "Rosso" , H217 + 'Over View'!$B$8, "Grado Non Inserito") )))))</f>
        <v>Grado Non Inserito</v>
      </c>
      <c r="J217" s="4"/>
      <c r="K217" s="7"/>
      <c r="L217" s="2"/>
    </row>
    <row r="218">
      <c r="A218" s="3">
        <v>217.0</v>
      </c>
      <c r="B218" s="3" t="b">
        <v>0</v>
      </c>
      <c r="C218" s="9"/>
      <c r="D218" s="2"/>
      <c r="E218" s="10"/>
      <c r="F218" s="8"/>
      <c r="G218" s="8"/>
      <c r="H218" s="4"/>
      <c r="I218" s="9" t="str">
        <f>IF(C218 = "Smile", H218 + 'Over View'!$B$3, IF(C218 = "Bianco" , H218 + 'Over View'!$B$4, IF(C218 = "Giallo" , H218 + 'Over View'!$B$5, IF(C218 = "Blu" , H218 + 'Over View'!$B$6, IF(C218 = "Verde" , H218 + 'Over View'!$B$7, IF(C218 = "Rosso" , H218 + 'Over View'!$B$8, "Grado Non Inserito") )))))</f>
        <v>Grado Non Inserito</v>
      </c>
      <c r="J218" s="4"/>
      <c r="K218" s="7"/>
      <c r="L218" s="2"/>
    </row>
    <row r="219">
      <c r="A219" s="3">
        <v>218.0</v>
      </c>
      <c r="B219" s="3" t="b">
        <v>0</v>
      </c>
      <c r="C219" s="9"/>
      <c r="D219" s="2"/>
      <c r="E219" s="10"/>
      <c r="F219" s="8"/>
      <c r="G219" s="8"/>
      <c r="H219" s="4"/>
      <c r="I219" s="9" t="str">
        <f>IF(C219 = "Smile", H219 + 'Over View'!$B$3, IF(C219 = "Bianco" , H219 + 'Over View'!$B$4, IF(C219 = "Giallo" , H219 + 'Over View'!$B$5, IF(C219 = "Blu" , H219 + 'Over View'!$B$6, IF(C219 = "Verde" , H219 + 'Over View'!$B$7, IF(C219 = "Rosso" , H219 + 'Over View'!$B$8, "Grado Non Inserito") )))))</f>
        <v>Grado Non Inserito</v>
      </c>
      <c r="J219" s="4"/>
      <c r="K219" s="7"/>
      <c r="L219" s="2"/>
    </row>
    <row r="220">
      <c r="A220" s="3">
        <v>219.0</v>
      </c>
      <c r="B220" s="3" t="b">
        <v>0</v>
      </c>
      <c r="C220" s="9"/>
      <c r="D220" s="2"/>
      <c r="E220" s="10"/>
      <c r="F220" s="8"/>
      <c r="G220" s="8"/>
      <c r="H220" s="4"/>
      <c r="I220" s="9" t="str">
        <f>IF(C220 = "Smile", H220 + 'Over View'!$B$3, IF(C220 = "Bianco" , H220 + 'Over View'!$B$4, IF(C220 = "Giallo" , H220 + 'Over View'!$B$5, IF(C220 = "Blu" , H220 + 'Over View'!$B$6, IF(C220 = "Verde" , H220 + 'Over View'!$B$7, IF(C220 = "Rosso" , H220 + 'Over View'!$B$8, "Grado Non Inserito") )))))</f>
        <v>Grado Non Inserito</v>
      </c>
      <c r="J220" s="4"/>
      <c r="K220" s="7"/>
      <c r="L220" s="2"/>
    </row>
    <row r="221">
      <c r="A221" s="3">
        <v>220.0</v>
      </c>
      <c r="B221" s="3" t="b">
        <v>0</v>
      </c>
      <c r="C221" s="9"/>
      <c r="D221" s="2"/>
      <c r="E221" s="10"/>
      <c r="F221" s="8"/>
      <c r="G221" s="8"/>
      <c r="H221" s="4"/>
      <c r="I221" s="9" t="str">
        <f>IF(C221 = "Smile", H221 + 'Over View'!$B$3, IF(C221 = "Bianco" , H221 + 'Over View'!$B$4, IF(C221 = "Giallo" , H221 + 'Over View'!$B$5, IF(C221 = "Blu" , H221 + 'Over View'!$B$6, IF(C221 = "Verde" , H221 + 'Over View'!$B$7, IF(C221 = "Rosso" , H221 + 'Over View'!$B$8, "Grado Non Inserito") )))))</f>
        <v>Grado Non Inserito</v>
      </c>
      <c r="J221" s="4"/>
      <c r="K221" s="7"/>
      <c r="L221" s="2"/>
    </row>
    <row r="222">
      <c r="A222" s="3">
        <v>221.0</v>
      </c>
      <c r="B222" s="3" t="b">
        <v>0</v>
      </c>
      <c r="C222" s="9"/>
      <c r="D222" s="2"/>
      <c r="E222" s="10"/>
      <c r="F222" s="8"/>
      <c r="G222" s="8"/>
      <c r="H222" s="4"/>
      <c r="I222" s="9" t="str">
        <f>IF(C222 = "Smile", H222 + 'Over View'!$B$3, IF(C222 = "Bianco" , H222 + 'Over View'!$B$4, IF(C222 = "Giallo" , H222 + 'Over View'!$B$5, IF(C222 = "Blu" , H222 + 'Over View'!$B$6, IF(C222 = "Verde" , H222 + 'Over View'!$B$7, IF(C222 = "Rosso" , H222 + 'Over View'!$B$8, "Grado Non Inserito") )))))</f>
        <v>Grado Non Inserito</v>
      </c>
      <c r="J222" s="4"/>
      <c r="K222" s="7"/>
      <c r="L222" s="2"/>
    </row>
    <row r="223">
      <c r="A223" s="3">
        <v>222.0</v>
      </c>
      <c r="B223" s="3" t="b">
        <v>0</v>
      </c>
      <c r="C223" s="9"/>
      <c r="D223" s="2"/>
      <c r="E223" s="10"/>
      <c r="F223" s="8"/>
      <c r="G223" s="8"/>
      <c r="H223" s="4"/>
      <c r="I223" s="9" t="str">
        <f>IF(C223 = "Smile", H223 + 'Over View'!$B$3, IF(C223 = "Bianco" , H223 + 'Over View'!$B$4, IF(C223 = "Giallo" , H223 + 'Over View'!$B$5, IF(C223 = "Blu" , H223 + 'Over View'!$B$6, IF(C223 = "Verde" , H223 + 'Over View'!$B$7, IF(C223 = "Rosso" , H223 + 'Over View'!$B$8, "Grado Non Inserito") )))))</f>
        <v>Grado Non Inserito</v>
      </c>
      <c r="J223" s="4"/>
      <c r="K223" s="7"/>
      <c r="L223" s="2"/>
    </row>
    <row r="224">
      <c r="A224" s="3">
        <v>223.0</v>
      </c>
      <c r="B224" s="3" t="b">
        <v>0</v>
      </c>
      <c r="C224" s="9"/>
      <c r="D224" s="2"/>
      <c r="E224" s="10"/>
      <c r="F224" s="8"/>
      <c r="G224" s="8"/>
      <c r="H224" s="4"/>
      <c r="I224" s="9" t="str">
        <f>IF(C224 = "Smile", H224 + 'Over View'!$B$3, IF(C224 = "Bianco" , H224 + 'Over View'!$B$4, IF(C224 = "Giallo" , H224 + 'Over View'!$B$5, IF(C224 = "Blu" , H224 + 'Over View'!$B$6, IF(C224 = "Verde" , H224 + 'Over View'!$B$7, IF(C224 = "Rosso" , H224 + 'Over View'!$B$8, "Grado Non Inserito") )))))</f>
        <v>Grado Non Inserito</v>
      </c>
      <c r="J224" s="4"/>
      <c r="K224" s="7"/>
      <c r="L224" s="2"/>
    </row>
    <row r="225">
      <c r="A225" s="3">
        <v>224.0</v>
      </c>
      <c r="B225" s="3" t="b">
        <v>0</v>
      </c>
      <c r="C225" s="9"/>
      <c r="D225" s="2"/>
      <c r="E225" s="10"/>
      <c r="F225" s="8"/>
      <c r="G225" s="8"/>
      <c r="H225" s="4"/>
      <c r="I225" s="9" t="str">
        <f>IF(C225 = "Smile", H225 + 'Over View'!$B$3, IF(C225 = "Bianco" , H225 + 'Over View'!$B$4, IF(C225 = "Giallo" , H225 + 'Over View'!$B$5, IF(C225 = "Blu" , H225 + 'Over View'!$B$6, IF(C225 = "Verde" , H225 + 'Over View'!$B$7, IF(C225 = "Rosso" , H225 + 'Over View'!$B$8, "Grado Non Inserito") )))))</f>
        <v>Grado Non Inserito</v>
      </c>
      <c r="J225" s="4"/>
      <c r="K225" s="7"/>
      <c r="L225" s="2"/>
    </row>
    <row r="226">
      <c r="A226" s="3">
        <v>225.0</v>
      </c>
      <c r="B226" s="3" t="b">
        <v>0</v>
      </c>
      <c r="C226" s="9"/>
      <c r="D226" s="2"/>
      <c r="E226" s="10"/>
      <c r="F226" s="8"/>
      <c r="G226" s="8"/>
      <c r="H226" s="4"/>
      <c r="I226" s="9" t="str">
        <f>IF(C226 = "Smile", H226 + 'Over View'!$B$3, IF(C226 = "Bianco" , H226 + 'Over View'!$B$4, IF(C226 = "Giallo" , H226 + 'Over View'!$B$5, IF(C226 = "Blu" , H226 + 'Over View'!$B$6, IF(C226 = "Verde" , H226 + 'Over View'!$B$7, IF(C226 = "Rosso" , H226 + 'Over View'!$B$8, "Grado Non Inserito") )))))</f>
        <v>Grado Non Inserito</v>
      </c>
      <c r="J226" s="4"/>
      <c r="K226" s="7"/>
      <c r="L226" s="2"/>
    </row>
    <row r="227">
      <c r="A227" s="3">
        <v>226.0</v>
      </c>
      <c r="B227" s="3" t="b">
        <v>0</v>
      </c>
      <c r="C227" s="9"/>
      <c r="D227" s="2"/>
      <c r="E227" s="10"/>
      <c r="F227" s="8"/>
      <c r="G227" s="8"/>
      <c r="H227" s="4"/>
      <c r="I227" s="9" t="str">
        <f>IF(C227 = "Smile", H227 + 'Over View'!$B$3, IF(C227 = "Bianco" , H227 + 'Over View'!$B$4, IF(C227 = "Giallo" , H227 + 'Over View'!$B$5, IF(C227 = "Blu" , H227 + 'Over View'!$B$6, IF(C227 = "Verde" , H227 + 'Over View'!$B$7, IF(C227 = "Rosso" , H227 + 'Over View'!$B$8, "Grado Non Inserito") )))))</f>
        <v>Grado Non Inserito</v>
      </c>
      <c r="J227" s="4"/>
      <c r="K227" s="7"/>
      <c r="L227" s="2"/>
    </row>
    <row r="228">
      <c r="A228" s="3">
        <v>227.0</v>
      </c>
      <c r="B228" s="3" t="b">
        <v>0</v>
      </c>
      <c r="C228" s="9"/>
      <c r="D228" s="2"/>
      <c r="E228" s="10"/>
      <c r="F228" s="8"/>
      <c r="G228" s="8"/>
      <c r="H228" s="4"/>
      <c r="I228" s="9" t="str">
        <f>IF(C228 = "Smile", H228 + 'Over View'!$B$3, IF(C228 = "Bianco" , H228 + 'Over View'!$B$4, IF(C228 = "Giallo" , H228 + 'Over View'!$B$5, IF(C228 = "Blu" , H228 + 'Over View'!$B$6, IF(C228 = "Verde" , H228 + 'Over View'!$B$7, IF(C228 = "Rosso" , H228 + 'Over View'!$B$8, "Grado Non Inserito") )))))</f>
        <v>Grado Non Inserito</v>
      </c>
      <c r="J228" s="4"/>
      <c r="K228" s="7"/>
      <c r="L228" s="2"/>
    </row>
    <row r="229">
      <c r="A229" s="3">
        <v>228.0</v>
      </c>
      <c r="B229" s="3" t="b">
        <v>0</v>
      </c>
      <c r="C229" s="9"/>
      <c r="D229" s="2"/>
      <c r="E229" s="10"/>
      <c r="F229" s="8"/>
      <c r="G229" s="8"/>
      <c r="H229" s="4"/>
      <c r="I229" s="9" t="str">
        <f>IF(C229 = "Smile", H229 + 'Over View'!$B$3, IF(C229 = "Bianco" , H229 + 'Over View'!$B$4, IF(C229 = "Giallo" , H229 + 'Over View'!$B$5, IF(C229 = "Blu" , H229 + 'Over View'!$B$6, IF(C229 = "Verde" , H229 + 'Over View'!$B$7, IF(C229 = "Rosso" , H229 + 'Over View'!$B$8, "Grado Non Inserito") )))))</f>
        <v>Grado Non Inserito</v>
      </c>
      <c r="J229" s="4"/>
      <c r="K229" s="7"/>
      <c r="L229" s="2"/>
    </row>
    <row r="230">
      <c r="A230" s="3">
        <v>229.0</v>
      </c>
      <c r="B230" s="3" t="b">
        <v>0</v>
      </c>
      <c r="C230" s="9"/>
      <c r="D230" s="2"/>
      <c r="E230" s="10"/>
      <c r="F230" s="8"/>
      <c r="G230" s="8"/>
      <c r="H230" s="4"/>
      <c r="I230" s="9" t="str">
        <f>IF(C230 = "Smile", H230 + 'Over View'!$B$3, IF(C230 = "Bianco" , H230 + 'Over View'!$B$4, IF(C230 = "Giallo" , H230 + 'Over View'!$B$5, IF(C230 = "Blu" , H230 + 'Over View'!$B$6, IF(C230 = "Verde" , H230 + 'Over View'!$B$7, IF(C230 = "Rosso" , H230 + 'Over View'!$B$8, "Grado Non Inserito") )))))</f>
        <v>Grado Non Inserito</v>
      </c>
      <c r="J230" s="4"/>
      <c r="K230" s="7"/>
      <c r="L230" s="2"/>
    </row>
    <row r="231">
      <c r="A231" s="3">
        <v>230.0</v>
      </c>
      <c r="B231" s="3" t="b">
        <v>0</v>
      </c>
      <c r="C231" s="9"/>
      <c r="D231" s="2"/>
      <c r="E231" s="10"/>
      <c r="F231" s="8"/>
      <c r="G231" s="8"/>
      <c r="H231" s="4"/>
      <c r="I231" s="9" t="str">
        <f>IF(C231 = "Smile", H231 + 'Over View'!$B$3, IF(C231 = "Bianco" , H231 + 'Over View'!$B$4, IF(C231 = "Giallo" , H231 + 'Over View'!$B$5, IF(C231 = "Blu" , H231 + 'Over View'!$B$6, IF(C231 = "Verde" , H231 + 'Over View'!$B$7, IF(C231 = "Rosso" , H231 + 'Over View'!$B$8, "Grado Non Inserito") )))))</f>
        <v>Grado Non Inserito</v>
      </c>
      <c r="J231" s="4"/>
      <c r="K231" s="7"/>
      <c r="L231" s="2"/>
    </row>
    <row r="232">
      <c r="A232" s="3">
        <v>231.0</v>
      </c>
      <c r="B232" s="3" t="b">
        <v>0</v>
      </c>
      <c r="C232" s="9"/>
      <c r="D232" s="2"/>
      <c r="E232" s="10"/>
      <c r="F232" s="8"/>
      <c r="G232" s="8"/>
      <c r="H232" s="4"/>
      <c r="I232" s="9" t="str">
        <f>IF(C232 = "Smile", H232 + 'Over View'!$B$3, IF(C232 = "Bianco" , H232 + 'Over View'!$B$4, IF(C232 = "Giallo" , H232 + 'Over View'!$B$5, IF(C232 = "Blu" , H232 + 'Over View'!$B$6, IF(C232 = "Verde" , H232 + 'Over View'!$B$7, IF(C232 = "Rosso" , H232 + 'Over View'!$B$8, "Grado Non Inserito") )))))</f>
        <v>Grado Non Inserito</v>
      </c>
      <c r="J232" s="4"/>
      <c r="K232" s="7"/>
      <c r="L232" s="2"/>
    </row>
    <row r="233">
      <c r="A233" s="3">
        <v>232.0</v>
      </c>
      <c r="B233" s="3" t="b">
        <v>0</v>
      </c>
      <c r="C233" s="9"/>
      <c r="D233" s="2"/>
      <c r="E233" s="10"/>
      <c r="F233" s="8"/>
      <c r="G233" s="8"/>
      <c r="H233" s="4"/>
      <c r="I233" s="9" t="str">
        <f>IF(C233 = "Smile", H233 + 'Over View'!$B$3, IF(C233 = "Bianco" , H233 + 'Over View'!$B$4, IF(C233 = "Giallo" , H233 + 'Over View'!$B$5, IF(C233 = "Blu" , H233 + 'Over View'!$B$6, IF(C233 = "Verde" , H233 + 'Over View'!$B$7, IF(C233 = "Rosso" , H233 + 'Over View'!$B$8, "Grado Non Inserito") )))))</f>
        <v>Grado Non Inserito</v>
      </c>
      <c r="J233" s="4"/>
      <c r="K233" s="7"/>
      <c r="L233" s="2"/>
    </row>
    <row r="234">
      <c r="A234" s="3">
        <v>233.0</v>
      </c>
      <c r="B234" s="3" t="b">
        <v>0</v>
      </c>
      <c r="C234" s="9"/>
      <c r="D234" s="2"/>
      <c r="E234" s="10"/>
      <c r="F234" s="8"/>
      <c r="G234" s="8"/>
      <c r="H234" s="4"/>
      <c r="I234" s="9" t="str">
        <f>IF(C234 = "Smile", H234 + 'Over View'!$B$3, IF(C234 = "Bianco" , H234 + 'Over View'!$B$4, IF(C234 = "Giallo" , H234 + 'Over View'!$B$5, IF(C234 = "Blu" , H234 + 'Over View'!$B$6, IF(C234 = "Verde" , H234 + 'Over View'!$B$7, IF(C234 = "Rosso" , H234 + 'Over View'!$B$8, "Grado Non Inserito") )))))</f>
        <v>Grado Non Inserito</v>
      </c>
      <c r="J234" s="4"/>
      <c r="K234" s="7"/>
      <c r="L234" s="2"/>
    </row>
    <row r="235">
      <c r="A235" s="3">
        <v>234.0</v>
      </c>
      <c r="B235" s="3" t="b">
        <v>0</v>
      </c>
      <c r="C235" s="9"/>
      <c r="D235" s="2"/>
      <c r="E235" s="10"/>
      <c r="F235" s="8"/>
      <c r="G235" s="8"/>
      <c r="H235" s="4"/>
      <c r="I235" s="9" t="str">
        <f>IF(C235 = "Smile", H235 + 'Over View'!$B$3, IF(C235 = "Bianco" , H235 + 'Over View'!$B$4, IF(C235 = "Giallo" , H235 + 'Over View'!$B$5, IF(C235 = "Blu" , H235 + 'Over View'!$B$6, IF(C235 = "Verde" , H235 + 'Over View'!$B$7, IF(C235 = "Rosso" , H235 + 'Over View'!$B$8, "Grado Non Inserito") )))))</f>
        <v>Grado Non Inserito</v>
      </c>
      <c r="J235" s="4"/>
      <c r="K235" s="7"/>
      <c r="L235" s="2"/>
    </row>
    <row r="236">
      <c r="A236" s="3">
        <v>235.0</v>
      </c>
      <c r="B236" s="3" t="b">
        <v>0</v>
      </c>
      <c r="C236" s="9"/>
      <c r="D236" s="2"/>
      <c r="E236" s="10"/>
      <c r="F236" s="8"/>
      <c r="G236" s="8"/>
      <c r="H236" s="4"/>
      <c r="I236" s="9" t="str">
        <f>IF(C236 = "Smile", H236 + 'Over View'!$B$3, IF(C236 = "Bianco" , H236 + 'Over View'!$B$4, IF(C236 = "Giallo" , H236 + 'Over View'!$B$5, IF(C236 = "Blu" , H236 + 'Over View'!$B$6, IF(C236 = "Verde" , H236 + 'Over View'!$B$7, IF(C236 = "Rosso" , H236 + 'Over View'!$B$8, "Grado Non Inserito") )))))</f>
        <v>Grado Non Inserito</v>
      </c>
      <c r="J236" s="4"/>
      <c r="K236" s="7"/>
      <c r="L236" s="2"/>
    </row>
    <row r="237">
      <c r="A237" s="3">
        <v>236.0</v>
      </c>
      <c r="B237" s="3" t="b">
        <v>0</v>
      </c>
      <c r="C237" s="9"/>
      <c r="D237" s="2"/>
      <c r="E237" s="10"/>
      <c r="F237" s="8"/>
      <c r="G237" s="8"/>
      <c r="H237" s="4"/>
      <c r="I237" s="9" t="str">
        <f>IF(C237 = "Smile", H237 + 'Over View'!$B$3, IF(C237 = "Bianco" , H237 + 'Over View'!$B$4, IF(C237 = "Giallo" , H237 + 'Over View'!$B$5, IF(C237 = "Blu" , H237 + 'Over View'!$B$6, IF(C237 = "Verde" , H237 + 'Over View'!$B$7, IF(C237 = "Rosso" , H237 + 'Over View'!$B$8, "Grado Non Inserito") )))))</f>
        <v>Grado Non Inserito</v>
      </c>
      <c r="J237" s="4"/>
      <c r="K237" s="7"/>
      <c r="L237" s="2"/>
    </row>
    <row r="238">
      <c r="A238" s="3">
        <v>237.0</v>
      </c>
      <c r="B238" s="3" t="b">
        <v>0</v>
      </c>
      <c r="C238" s="9"/>
      <c r="D238" s="2"/>
      <c r="E238" s="10"/>
      <c r="F238" s="8"/>
      <c r="G238" s="8"/>
      <c r="H238" s="4"/>
      <c r="I238" s="9" t="str">
        <f>IF(C238 = "Smile", H238 + 'Over View'!$B$3, IF(C238 = "Bianco" , H238 + 'Over View'!$B$4, IF(C238 = "Giallo" , H238 + 'Over View'!$B$5, IF(C238 = "Blu" , H238 + 'Over View'!$B$6, IF(C238 = "Verde" , H238 + 'Over View'!$B$7, IF(C238 = "Rosso" , H238 + 'Over View'!$B$8, "Grado Non Inserito") )))))</f>
        <v>Grado Non Inserito</v>
      </c>
      <c r="J238" s="4"/>
      <c r="K238" s="7"/>
      <c r="L238" s="2"/>
    </row>
    <row r="239">
      <c r="A239" s="3">
        <v>238.0</v>
      </c>
      <c r="B239" s="3" t="b">
        <v>0</v>
      </c>
      <c r="C239" s="9"/>
      <c r="D239" s="2"/>
      <c r="E239" s="10"/>
      <c r="F239" s="8"/>
      <c r="G239" s="8"/>
      <c r="H239" s="4"/>
      <c r="I239" s="9" t="str">
        <f>IF(C239 = "Smile", H239 + 'Over View'!$B$3, IF(C239 = "Bianco" , H239 + 'Over View'!$B$4, IF(C239 = "Giallo" , H239 + 'Over View'!$B$5, IF(C239 = "Blu" , H239 + 'Over View'!$B$6, IF(C239 = "Verde" , H239 + 'Over View'!$B$7, IF(C239 = "Rosso" , H239 + 'Over View'!$B$8, "Grado Non Inserito") )))))</f>
        <v>Grado Non Inserito</v>
      </c>
      <c r="J239" s="4"/>
      <c r="K239" s="7"/>
      <c r="L239" s="2"/>
    </row>
    <row r="240">
      <c r="A240" s="3">
        <v>239.0</v>
      </c>
      <c r="B240" s="3" t="b">
        <v>0</v>
      </c>
      <c r="C240" s="9"/>
      <c r="D240" s="2"/>
      <c r="E240" s="10"/>
      <c r="F240" s="8"/>
      <c r="G240" s="8"/>
      <c r="H240" s="4"/>
      <c r="I240" s="9" t="str">
        <f>IF(C240 = "Smile", H240 + 'Over View'!$B$3, IF(C240 = "Bianco" , H240 + 'Over View'!$B$4, IF(C240 = "Giallo" , H240 + 'Over View'!$B$5, IF(C240 = "Blu" , H240 + 'Over View'!$B$6, IF(C240 = "Verde" , H240 + 'Over View'!$B$7, IF(C240 = "Rosso" , H240 + 'Over View'!$B$8, "Grado Non Inserito") )))))</f>
        <v>Grado Non Inserito</v>
      </c>
      <c r="J240" s="4"/>
      <c r="K240" s="7"/>
      <c r="L240" s="2"/>
    </row>
    <row r="241">
      <c r="A241" s="3">
        <v>240.0</v>
      </c>
      <c r="B241" s="3" t="b">
        <v>0</v>
      </c>
      <c r="C241" s="9"/>
      <c r="D241" s="2"/>
      <c r="E241" s="10"/>
      <c r="F241" s="8"/>
      <c r="G241" s="8"/>
      <c r="H241" s="4"/>
      <c r="I241" s="9" t="str">
        <f>IF(C241 = "Smile", H241 + 'Over View'!$B$3, IF(C241 = "Bianco" , H241 + 'Over View'!$B$4, IF(C241 = "Giallo" , H241 + 'Over View'!$B$5, IF(C241 = "Blu" , H241 + 'Over View'!$B$6, IF(C241 = "Verde" , H241 + 'Over View'!$B$7, IF(C241 = "Rosso" , H241 + 'Over View'!$B$8, "Grado Non Inserito") )))))</f>
        <v>Grado Non Inserito</v>
      </c>
      <c r="J241" s="4"/>
      <c r="K241" s="7"/>
      <c r="L241" s="2"/>
    </row>
    <row r="242">
      <c r="A242" s="3">
        <v>241.0</v>
      </c>
      <c r="B242" s="3" t="b">
        <v>0</v>
      </c>
      <c r="C242" s="9"/>
      <c r="D242" s="2"/>
      <c r="E242" s="10"/>
      <c r="F242" s="8"/>
      <c r="G242" s="8"/>
      <c r="H242" s="4"/>
      <c r="I242" s="9" t="str">
        <f>IF(C242 = "Smile", H242 + 'Over View'!$B$3, IF(C242 = "Bianco" , H242 + 'Over View'!$B$4, IF(C242 = "Giallo" , H242 + 'Over View'!$B$5, IF(C242 = "Blu" , H242 + 'Over View'!$B$6, IF(C242 = "Verde" , H242 + 'Over View'!$B$7, IF(C242 = "Rosso" , H242 + 'Over View'!$B$8, "Grado Non Inserito") )))))</f>
        <v>Grado Non Inserito</v>
      </c>
      <c r="J242" s="4"/>
      <c r="K242" s="7"/>
      <c r="L242" s="2"/>
    </row>
    <row r="243">
      <c r="A243" s="3">
        <v>242.0</v>
      </c>
      <c r="B243" s="3" t="b">
        <v>0</v>
      </c>
      <c r="C243" s="9"/>
      <c r="D243" s="2"/>
      <c r="E243" s="10"/>
      <c r="F243" s="8"/>
      <c r="G243" s="8"/>
      <c r="H243" s="4"/>
      <c r="I243" s="9" t="str">
        <f>IF(C243 = "Smile", H243 + 'Over View'!$B$3, IF(C243 = "Bianco" , H243 + 'Over View'!$B$4, IF(C243 = "Giallo" , H243 + 'Over View'!$B$5, IF(C243 = "Blu" , H243 + 'Over View'!$B$6, IF(C243 = "Verde" , H243 + 'Over View'!$B$7, IF(C243 = "Rosso" , H243 + 'Over View'!$B$8, "Grado Non Inserito") )))))</f>
        <v>Grado Non Inserito</v>
      </c>
      <c r="J243" s="4"/>
      <c r="K243" s="7"/>
      <c r="L243" s="2"/>
    </row>
    <row r="244">
      <c r="A244" s="3">
        <v>243.0</v>
      </c>
      <c r="B244" s="3" t="b">
        <v>0</v>
      </c>
      <c r="C244" s="9"/>
      <c r="D244" s="2"/>
      <c r="E244" s="10"/>
      <c r="F244" s="8"/>
      <c r="G244" s="8"/>
      <c r="H244" s="4"/>
      <c r="I244" s="9" t="str">
        <f>IF(C244 = "Smile", H244 + 'Over View'!$B$3, IF(C244 = "Bianco" , H244 + 'Over View'!$B$4, IF(C244 = "Giallo" , H244 + 'Over View'!$B$5, IF(C244 = "Blu" , H244 + 'Over View'!$B$6, IF(C244 = "Verde" , H244 + 'Over View'!$B$7, IF(C244 = "Rosso" , H244 + 'Over View'!$B$8, "Grado Non Inserito") )))))</f>
        <v>Grado Non Inserito</v>
      </c>
      <c r="J244" s="4"/>
      <c r="K244" s="7"/>
      <c r="L244" s="2"/>
    </row>
    <row r="245">
      <c r="A245" s="3">
        <v>244.0</v>
      </c>
      <c r="B245" s="3" t="b">
        <v>0</v>
      </c>
      <c r="C245" s="9"/>
      <c r="D245" s="2"/>
      <c r="E245" s="10"/>
      <c r="F245" s="8"/>
      <c r="G245" s="8"/>
      <c r="H245" s="4"/>
      <c r="I245" s="9" t="str">
        <f>IF(C245 = "Smile", H245 + 'Over View'!$B$3, IF(C245 = "Bianco" , H245 + 'Over View'!$B$4, IF(C245 = "Giallo" , H245 + 'Over View'!$B$5, IF(C245 = "Blu" , H245 + 'Over View'!$B$6, IF(C245 = "Verde" , H245 + 'Over View'!$B$7, IF(C245 = "Rosso" , H245 + 'Over View'!$B$8, "Grado Non Inserito") )))))</f>
        <v>Grado Non Inserito</v>
      </c>
      <c r="J245" s="4"/>
      <c r="K245" s="7"/>
      <c r="L245" s="2"/>
    </row>
    <row r="246">
      <c r="A246" s="3">
        <v>245.0</v>
      </c>
      <c r="B246" s="3" t="b">
        <v>0</v>
      </c>
      <c r="C246" s="9"/>
      <c r="D246" s="2"/>
      <c r="E246" s="10"/>
      <c r="F246" s="8"/>
      <c r="G246" s="8"/>
      <c r="H246" s="4"/>
      <c r="I246" s="9" t="str">
        <f>IF(C246 = "Smile", H246 + 'Over View'!$B$3, IF(C246 = "Bianco" , H246 + 'Over View'!$B$4, IF(C246 = "Giallo" , H246 + 'Over View'!$B$5, IF(C246 = "Blu" , H246 + 'Over View'!$B$6, IF(C246 = "Verde" , H246 + 'Over View'!$B$7, IF(C246 = "Rosso" , H246 + 'Over View'!$B$8, "Grado Non Inserito") )))))</f>
        <v>Grado Non Inserito</v>
      </c>
      <c r="J246" s="4"/>
      <c r="K246" s="7"/>
      <c r="L246" s="2"/>
    </row>
    <row r="247">
      <c r="A247" s="3">
        <v>246.0</v>
      </c>
      <c r="B247" s="3" t="b">
        <v>0</v>
      </c>
      <c r="C247" s="9"/>
      <c r="D247" s="2"/>
      <c r="E247" s="10"/>
      <c r="F247" s="8"/>
      <c r="G247" s="8"/>
      <c r="H247" s="4"/>
      <c r="I247" s="9" t="str">
        <f>IF(C247 = "Smile", H247 + 'Over View'!$B$3, IF(C247 = "Bianco" , H247 + 'Over View'!$B$4, IF(C247 = "Giallo" , H247 + 'Over View'!$B$5, IF(C247 = "Blu" , H247 + 'Over View'!$B$6, IF(C247 = "Verde" , H247 + 'Over View'!$B$7, IF(C247 = "Rosso" , H247 + 'Over View'!$B$8, "Grado Non Inserito") )))))</f>
        <v>Grado Non Inserito</v>
      </c>
      <c r="J247" s="4"/>
      <c r="K247" s="7"/>
      <c r="L247" s="2"/>
    </row>
    <row r="248">
      <c r="A248" s="3">
        <v>247.0</v>
      </c>
      <c r="B248" s="3" t="b">
        <v>0</v>
      </c>
      <c r="C248" s="9"/>
      <c r="D248" s="2"/>
      <c r="E248" s="10"/>
      <c r="F248" s="8"/>
      <c r="G248" s="8"/>
      <c r="H248" s="4"/>
      <c r="I248" s="9" t="str">
        <f>IF(C248 = "Smile", H248 + 'Over View'!$B$3, IF(C248 = "Bianco" , H248 + 'Over View'!$B$4, IF(C248 = "Giallo" , H248 + 'Over View'!$B$5, IF(C248 = "Blu" , H248 + 'Over View'!$B$6, IF(C248 = "Verde" , H248 + 'Over View'!$B$7, IF(C248 = "Rosso" , H248 + 'Over View'!$B$8, "Grado Non Inserito") )))))</f>
        <v>Grado Non Inserito</v>
      </c>
      <c r="J248" s="4"/>
      <c r="K248" s="7"/>
      <c r="L248" s="2"/>
    </row>
    <row r="249">
      <c r="A249" s="3">
        <v>248.0</v>
      </c>
      <c r="B249" s="3" t="b">
        <v>0</v>
      </c>
      <c r="C249" s="9"/>
      <c r="D249" s="2"/>
      <c r="E249" s="10"/>
      <c r="F249" s="8"/>
      <c r="G249" s="8"/>
      <c r="H249" s="4"/>
      <c r="I249" s="9" t="str">
        <f>IF(C249 = "Smile", H249 + 'Over View'!$B$3, IF(C249 = "Bianco" , H249 + 'Over View'!$B$4, IF(C249 = "Giallo" , H249 + 'Over View'!$B$5, IF(C249 = "Blu" , H249 + 'Over View'!$B$6, IF(C249 = "Verde" , H249 + 'Over View'!$B$7, IF(C249 = "Rosso" , H249 + 'Over View'!$B$8, "Grado Non Inserito") )))))</f>
        <v>Grado Non Inserito</v>
      </c>
      <c r="J249" s="4"/>
      <c r="K249" s="7"/>
      <c r="L249" s="2"/>
    </row>
    <row r="250">
      <c r="A250" s="3">
        <v>249.0</v>
      </c>
      <c r="B250" s="3" t="b">
        <v>0</v>
      </c>
      <c r="C250" s="9"/>
      <c r="D250" s="2"/>
      <c r="E250" s="10"/>
      <c r="F250" s="8"/>
      <c r="G250" s="8"/>
      <c r="H250" s="4"/>
      <c r="I250" s="9" t="str">
        <f>IF(C250 = "Smile", H250 + 'Over View'!$B$3, IF(C250 = "Bianco" , H250 + 'Over View'!$B$4, IF(C250 = "Giallo" , H250 + 'Over View'!$B$5, IF(C250 = "Blu" , H250 + 'Over View'!$B$6, IF(C250 = "Verde" , H250 + 'Over View'!$B$7, IF(C250 = "Rosso" , H250 + 'Over View'!$B$8, "Grado Non Inserito") )))))</f>
        <v>Grado Non Inserito</v>
      </c>
      <c r="J250" s="4"/>
      <c r="K250" s="7"/>
      <c r="L250" s="2"/>
    </row>
    <row r="251">
      <c r="A251" s="3">
        <v>250.0</v>
      </c>
      <c r="B251" s="3" t="b">
        <v>0</v>
      </c>
      <c r="C251" s="9"/>
      <c r="D251" s="2"/>
      <c r="E251" s="10"/>
      <c r="F251" s="8"/>
      <c r="G251" s="8"/>
      <c r="H251" s="4"/>
      <c r="I251" s="9" t="str">
        <f>IF(C251 = "Smile", H251 + 'Over View'!$B$3, IF(C251 = "Bianco" , H251 + 'Over View'!$B$4, IF(C251 = "Giallo" , H251 + 'Over View'!$B$5, IF(C251 = "Blu" , H251 + 'Over View'!$B$6, IF(C251 = "Verde" , H251 + 'Over View'!$B$7, IF(C251 = "Rosso" , H251 + 'Over View'!$B$8, "Grado Non Inserito") )))))</f>
        <v>Grado Non Inserito</v>
      </c>
      <c r="J251" s="4"/>
      <c r="K251" s="7"/>
      <c r="L251" s="2"/>
    </row>
    <row r="252">
      <c r="A252" s="3">
        <v>251.0</v>
      </c>
      <c r="B252" s="3" t="b">
        <v>0</v>
      </c>
      <c r="C252" s="9"/>
      <c r="D252" s="2"/>
      <c r="E252" s="10"/>
      <c r="F252" s="8"/>
      <c r="G252" s="8"/>
      <c r="H252" s="4"/>
      <c r="I252" s="9" t="str">
        <f>IF(C252 = "Smile", H252 + 'Over View'!$B$3, IF(C252 = "Bianco" , H252 + 'Over View'!$B$4, IF(C252 = "Giallo" , H252 + 'Over View'!$B$5, IF(C252 = "Blu" , H252 + 'Over View'!$B$6, IF(C252 = "Verde" , H252 + 'Over View'!$B$7, IF(C252 = "Rosso" , H252 + 'Over View'!$B$8, "Grado Non Inserito") )))))</f>
        <v>Grado Non Inserito</v>
      </c>
      <c r="J252" s="4"/>
      <c r="K252" s="7"/>
      <c r="L252" s="2"/>
    </row>
    <row r="253">
      <c r="A253" s="3">
        <v>252.0</v>
      </c>
      <c r="B253" s="3" t="b">
        <v>0</v>
      </c>
      <c r="C253" s="9"/>
      <c r="D253" s="2"/>
      <c r="E253" s="10"/>
      <c r="F253" s="8"/>
      <c r="G253" s="8"/>
      <c r="H253" s="4"/>
      <c r="I253" s="9" t="str">
        <f>IF(C253 = "Smile", H253 + 'Over View'!$B$3, IF(C253 = "Bianco" , H253 + 'Over View'!$B$4, IF(C253 = "Giallo" , H253 + 'Over View'!$B$5, IF(C253 = "Blu" , H253 + 'Over View'!$B$6, IF(C253 = "Verde" , H253 + 'Over View'!$B$7, IF(C253 = "Rosso" , H253 + 'Over View'!$B$8, "Grado Non Inserito") )))))</f>
        <v>Grado Non Inserito</v>
      </c>
      <c r="J253" s="4"/>
      <c r="K253" s="7"/>
      <c r="L253" s="2"/>
    </row>
    <row r="254">
      <c r="A254" s="3">
        <v>253.0</v>
      </c>
      <c r="B254" s="3" t="b">
        <v>0</v>
      </c>
      <c r="C254" s="9"/>
      <c r="D254" s="2"/>
      <c r="E254" s="10"/>
      <c r="F254" s="8"/>
      <c r="G254" s="8"/>
      <c r="H254" s="4"/>
      <c r="I254" s="9" t="str">
        <f>IF(C254 = "Smile", H254 + 'Over View'!$B$3, IF(C254 = "Bianco" , H254 + 'Over View'!$B$4, IF(C254 = "Giallo" , H254 + 'Over View'!$B$5, IF(C254 = "Blu" , H254 + 'Over View'!$B$6, IF(C254 = "Verde" , H254 + 'Over View'!$B$7, IF(C254 = "Rosso" , H254 + 'Over View'!$B$8, "Grado Non Inserito") )))))</f>
        <v>Grado Non Inserito</v>
      </c>
      <c r="J254" s="4"/>
      <c r="K254" s="7"/>
      <c r="L254" s="2"/>
    </row>
    <row r="255">
      <c r="A255" s="3">
        <v>254.0</v>
      </c>
      <c r="B255" s="3" t="b">
        <v>0</v>
      </c>
      <c r="C255" s="9"/>
      <c r="D255" s="2"/>
      <c r="E255" s="10"/>
      <c r="F255" s="8"/>
      <c r="G255" s="8"/>
      <c r="H255" s="4"/>
      <c r="I255" s="9" t="str">
        <f>IF(C255 = "Smile", H255 + 'Over View'!$B$3, IF(C255 = "Bianco" , H255 + 'Over View'!$B$4, IF(C255 = "Giallo" , H255 + 'Over View'!$B$5, IF(C255 = "Blu" , H255 + 'Over View'!$B$6, IF(C255 = "Verde" , H255 + 'Over View'!$B$7, IF(C255 = "Rosso" , H255 + 'Over View'!$B$8, "Grado Non Inserito") )))))</f>
        <v>Grado Non Inserito</v>
      </c>
      <c r="J255" s="4"/>
      <c r="K255" s="7"/>
      <c r="L255" s="2"/>
    </row>
    <row r="256">
      <c r="A256" s="3">
        <v>255.0</v>
      </c>
      <c r="B256" s="3" t="b">
        <v>0</v>
      </c>
      <c r="C256" s="9"/>
      <c r="D256" s="2"/>
      <c r="E256" s="10"/>
      <c r="F256" s="8"/>
      <c r="G256" s="8"/>
      <c r="H256" s="4"/>
      <c r="I256" s="9" t="str">
        <f>IF(C256 = "Smile", H256 + 'Over View'!$B$3, IF(C256 = "Bianco" , H256 + 'Over View'!$B$4, IF(C256 = "Giallo" , H256 + 'Over View'!$B$5, IF(C256 = "Blu" , H256 + 'Over View'!$B$6, IF(C256 = "Verde" , H256 + 'Over View'!$B$7, IF(C256 = "Rosso" , H256 + 'Over View'!$B$8, "Grado Non Inserito") )))))</f>
        <v>Grado Non Inserito</v>
      </c>
      <c r="J256" s="4"/>
      <c r="K256" s="7"/>
      <c r="L256" s="2"/>
    </row>
    <row r="257">
      <c r="A257" s="3">
        <v>256.0</v>
      </c>
      <c r="B257" s="3" t="b">
        <v>0</v>
      </c>
      <c r="C257" s="9"/>
      <c r="D257" s="2"/>
      <c r="E257" s="10"/>
      <c r="F257" s="8"/>
      <c r="G257" s="8"/>
      <c r="H257" s="4"/>
      <c r="I257" s="9" t="str">
        <f>IF(C257 = "Smile", H257 + 'Over View'!$B$3, IF(C257 = "Bianco" , H257 + 'Over View'!$B$4, IF(C257 = "Giallo" , H257 + 'Over View'!$B$5, IF(C257 = "Blu" , H257 + 'Over View'!$B$6, IF(C257 = "Verde" , H257 + 'Over View'!$B$7, IF(C257 = "Rosso" , H257 + 'Over View'!$B$8, "Grado Non Inserito") )))))</f>
        <v>Grado Non Inserito</v>
      </c>
      <c r="J257" s="4"/>
      <c r="K257" s="7"/>
      <c r="L257" s="2"/>
    </row>
    <row r="258">
      <c r="A258" s="3">
        <v>257.0</v>
      </c>
      <c r="B258" s="3" t="b">
        <v>0</v>
      </c>
      <c r="C258" s="9"/>
      <c r="D258" s="2"/>
      <c r="E258" s="10"/>
      <c r="F258" s="8"/>
      <c r="G258" s="8"/>
      <c r="H258" s="4"/>
      <c r="I258" s="9" t="str">
        <f>IF(C258 = "Smile", H258 + 'Over View'!$B$3, IF(C258 = "Bianco" , H258 + 'Over View'!$B$4, IF(C258 = "Giallo" , H258 + 'Over View'!$B$5, IF(C258 = "Blu" , H258 + 'Over View'!$B$6, IF(C258 = "Verde" , H258 + 'Over View'!$B$7, IF(C258 = "Rosso" , H258 + 'Over View'!$B$8, "Grado Non Inserito") )))))</f>
        <v>Grado Non Inserito</v>
      </c>
      <c r="J258" s="4"/>
      <c r="K258" s="7"/>
      <c r="L258" s="2"/>
    </row>
    <row r="259">
      <c r="A259" s="3">
        <v>258.0</v>
      </c>
      <c r="B259" s="3" t="b">
        <v>0</v>
      </c>
      <c r="C259" s="9"/>
      <c r="D259" s="2"/>
      <c r="E259" s="10"/>
      <c r="F259" s="8"/>
      <c r="G259" s="8"/>
      <c r="H259" s="4"/>
      <c r="I259" s="9" t="str">
        <f>IF(C259 = "Smile", H259 + 'Over View'!$B$3, IF(C259 = "Bianco" , H259 + 'Over View'!$B$4, IF(C259 = "Giallo" , H259 + 'Over View'!$B$5, IF(C259 = "Blu" , H259 + 'Over View'!$B$6, IF(C259 = "Verde" , H259 + 'Over View'!$B$7, IF(C259 = "Rosso" , H259 + 'Over View'!$B$8, "Grado Non Inserito") )))))</f>
        <v>Grado Non Inserito</v>
      </c>
      <c r="J259" s="4"/>
      <c r="K259" s="7"/>
      <c r="L259" s="2"/>
    </row>
    <row r="260">
      <c r="A260" s="3">
        <v>259.0</v>
      </c>
      <c r="B260" s="3" t="b">
        <v>0</v>
      </c>
      <c r="C260" s="9"/>
      <c r="D260" s="2"/>
      <c r="E260" s="10"/>
      <c r="F260" s="8"/>
      <c r="G260" s="8"/>
      <c r="H260" s="4"/>
      <c r="I260" s="9" t="str">
        <f>IF(C260 = "Smile", H260 + 'Over View'!$B$3, IF(C260 = "Bianco" , H260 + 'Over View'!$B$4, IF(C260 = "Giallo" , H260 + 'Over View'!$B$5, IF(C260 = "Blu" , H260 + 'Over View'!$B$6, IF(C260 = "Verde" , H260 + 'Over View'!$B$7, IF(C260 = "Rosso" , H260 + 'Over View'!$B$8, "Grado Non Inserito") )))))</f>
        <v>Grado Non Inserito</v>
      </c>
      <c r="J260" s="4"/>
      <c r="K260" s="7"/>
      <c r="L260" s="2"/>
    </row>
    <row r="261">
      <c r="A261" s="3">
        <v>260.0</v>
      </c>
      <c r="B261" s="3" t="b">
        <v>0</v>
      </c>
      <c r="C261" s="9"/>
      <c r="D261" s="2"/>
      <c r="E261" s="10"/>
      <c r="F261" s="8"/>
      <c r="G261" s="8"/>
      <c r="H261" s="4"/>
      <c r="I261" s="9" t="str">
        <f>IF(C261 = "Smile", H261 + 'Over View'!$B$3, IF(C261 = "Bianco" , H261 + 'Over View'!$B$4, IF(C261 = "Giallo" , H261 + 'Over View'!$B$5, IF(C261 = "Blu" , H261 + 'Over View'!$B$6, IF(C261 = "Verde" , H261 + 'Over View'!$B$7, IF(C261 = "Rosso" , H261 + 'Over View'!$B$8, "Grado Non Inserito") )))))</f>
        <v>Grado Non Inserito</v>
      </c>
      <c r="J261" s="4"/>
      <c r="K261" s="7"/>
      <c r="L261" s="2"/>
    </row>
    <row r="262">
      <c r="A262" s="3">
        <v>261.0</v>
      </c>
      <c r="B262" s="3" t="b">
        <v>0</v>
      </c>
      <c r="C262" s="9"/>
      <c r="D262" s="2"/>
      <c r="E262" s="10"/>
      <c r="F262" s="8"/>
      <c r="G262" s="8"/>
      <c r="H262" s="4"/>
      <c r="I262" s="9" t="str">
        <f>IF(C262 = "Smile", H262 + 'Over View'!$B$3, IF(C262 = "Bianco" , H262 + 'Over View'!$B$4, IF(C262 = "Giallo" , H262 + 'Over View'!$B$5, IF(C262 = "Blu" , H262 + 'Over View'!$B$6, IF(C262 = "Verde" , H262 + 'Over View'!$B$7, IF(C262 = "Rosso" , H262 + 'Over View'!$B$8, "Grado Non Inserito") )))))</f>
        <v>Grado Non Inserito</v>
      </c>
      <c r="J262" s="4"/>
      <c r="K262" s="7"/>
      <c r="L262" s="2"/>
    </row>
    <row r="263">
      <c r="A263" s="3">
        <v>262.0</v>
      </c>
      <c r="B263" s="3" t="b">
        <v>0</v>
      </c>
      <c r="C263" s="9"/>
      <c r="D263" s="2"/>
      <c r="E263" s="10"/>
      <c r="F263" s="8"/>
      <c r="G263" s="8"/>
      <c r="H263" s="4"/>
      <c r="I263" s="9" t="str">
        <f>IF(C263 = "Smile", H263 + 'Over View'!$B$3, IF(C263 = "Bianco" , H263 + 'Over View'!$B$4, IF(C263 = "Giallo" , H263 + 'Over View'!$B$5, IF(C263 = "Blu" , H263 + 'Over View'!$B$6, IF(C263 = "Verde" , H263 + 'Over View'!$B$7, IF(C263 = "Rosso" , H263 + 'Over View'!$B$8, "Grado Non Inserito") )))))</f>
        <v>Grado Non Inserito</v>
      </c>
      <c r="J263" s="4"/>
      <c r="K263" s="7"/>
      <c r="L263" s="2"/>
    </row>
    <row r="264">
      <c r="A264" s="3">
        <v>263.0</v>
      </c>
      <c r="B264" s="3" t="b">
        <v>0</v>
      </c>
      <c r="C264" s="9"/>
      <c r="D264" s="2"/>
      <c r="E264" s="10"/>
      <c r="F264" s="8"/>
      <c r="G264" s="8"/>
      <c r="H264" s="4"/>
      <c r="I264" s="9" t="str">
        <f>IF(C264 = "Smile", H264 + 'Over View'!$B$3, IF(C264 = "Bianco" , H264 + 'Over View'!$B$4, IF(C264 = "Giallo" , H264 + 'Over View'!$B$5, IF(C264 = "Blu" , H264 + 'Over View'!$B$6, IF(C264 = "Verde" , H264 + 'Over View'!$B$7, IF(C264 = "Rosso" , H264 + 'Over View'!$B$8, "Grado Non Inserito") )))))</f>
        <v>Grado Non Inserito</v>
      </c>
      <c r="J264" s="4"/>
      <c r="K264" s="7"/>
      <c r="L264" s="2"/>
    </row>
    <row r="265">
      <c r="A265" s="3">
        <v>264.0</v>
      </c>
      <c r="B265" s="3" t="b">
        <v>0</v>
      </c>
      <c r="C265" s="9"/>
      <c r="D265" s="2"/>
      <c r="E265" s="10"/>
      <c r="F265" s="8"/>
      <c r="G265" s="8"/>
      <c r="H265" s="4"/>
      <c r="I265" s="9" t="str">
        <f>IF(C265 = "Smile", H265 + 'Over View'!$B$3, IF(C265 = "Bianco" , H265 + 'Over View'!$B$4, IF(C265 = "Giallo" , H265 + 'Over View'!$B$5, IF(C265 = "Blu" , H265 + 'Over View'!$B$6, IF(C265 = "Verde" , H265 + 'Over View'!$B$7, IF(C265 = "Rosso" , H265 + 'Over View'!$B$8, "Grado Non Inserito") )))))</f>
        <v>Grado Non Inserito</v>
      </c>
      <c r="J265" s="4"/>
      <c r="K265" s="7"/>
      <c r="L265" s="2"/>
    </row>
    <row r="266">
      <c r="A266" s="3">
        <v>265.0</v>
      </c>
      <c r="B266" s="3" t="b">
        <v>0</v>
      </c>
      <c r="C266" s="9"/>
      <c r="D266" s="2"/>
      <c r="E266" s="10"/>
      <c r="F266" s="8"/>
      <c r="G266" s="8"/>
      <c r="H266" s="4"/>
      <c r="I266" s="9" t="str">
        <f>IF(C266 = "Smile", H266 + 'Over View'!$B$3, IF(C266 = "Bianco" , H266 + 'Over View'!$B$4, IF(C266 = "Giallo" , H266 + 'Over View'!$B$5, IF(C266 = "Blu" , H266 + 'Over View'!$B$6, IF(C266 = "Verde" , H266 + 'Over View'!$B$7, IF(C266 = "Rosso" , H266 + 'Over View'!$B$8, "Grado Non Inserito") )))))</f>
        <v>Grado Non Inserito</v>
      </c>
      <c r="J266" s="4"/>
      <c r="K266" s="7"/>
      <c r="L266" s="2"/>
    </row>
    <row r="267">
      <c r="A267" s="3">
        <v>266.0</v>
      </c>
      <c r="B267" s="3" t="b">
        <v>0</v>
      </c>
      <c r="C267" s="9"/>
      <c r="D267" s="2"/>
      <c r="E267" s="10"/>
      <c r="F267" s="8"/>
      <c r="G267" s="8"/>
      <c r="H267" s="4"/>
      <c r="I267" s="9" t="str">
        <f>IF(C267 = "Smile", H267 + 'Over View'!$B$3, IF(C267 = "Bianco" , H267 + 'Over View'!$B$4, IF(C267 = "Giallo" , H267 + 'Over View'!$B$5, IF(C267 = "Blu" , H267 + 'Over View'!$B$6, IF(C267 = "Verde" , H267 + 'Over View'!$B$7, IF(C267 = "Rosso" , H267 + 'Over View'!$B$8, "Grado Non Inserito") )))))</f>
        <v>Grado Non Inserito</v>
      </c>
      <c r="J267" s="4"/>
      <c r="K267" s="7"/>
      <c r="L267" s="2"/>
    </row>
    <row r="268">
      <c r="A268" s="3">
        <v>267.0</v>
      </c>
      <c r="B268" s="3" t="b">
        <v>0</v>
      </c>
      <c r="C268" s="9"/>
      <c r="D268" s="2"/>
      <c r="E268" s="10"/>
      <c r="F268" s="8"/>
      <c r="G268" s="8"/>
      <c r="H268" s="4"/>
      <c r="I268" s="9" t="str">
        <f>IF(C268 = "Smile", H268 + 'Over View'!$B$3, IF(C268 = "Bianco" , H268 + 'Over View'!$B$4, IF(C268 = "Giallo" , H268 + 'Over View'!$B$5, IF(C268 = "Blu" , H268 + 'Over View'!$B$6, IF(C268 = "Verde" , H268 + 'Over View'!$B$7, IF(C268 = "Rosso" , H268 + 'Over View'!$B$8, "Grado Non Inserito") )))))</f>
        <v>Grado Non Inserito</v>
      </c>
      <c r="J268" s="4"/>
      <c r="K268" s="7"/>
      <c r="L268" s="2"/>
    </row>
    <row r="269">
      <c r="A269" s="3">
        <v>268.0</v>
      </c>
      <c r="B269" s="3" t="b">
        <v>0</v>
      </c>
      <c r="C269" s="9"/>
      <c r="D269" s="2"/>
      <c r="E269" s="10"/>
      <c r="F269" s="8"/>
      <c r="G269" s="8"/>
      <c r="H269" s="4"/>
      <c r="I269" s="9" t="str">
        <f>IF(C269 = "Smile", H269 + 'Over View'!$B$3, IF(C269 = "Bianco" , H269 + 'Over View'!$B$4, IF(C269 = "Giallo" , H269 + 'Over View'!$B$5, IF(C269 = "Blu" , H269 + 'Over View'!$B$6, IF(C269 = "Verde" , H269 + 'Over View'!$B$7, IF(C269 = "Rosso" , H269 + 'Over View'!$B$8, "Grado Non Inserito") )))))</f>
        <v>Grado Non Inserito</v>
      </c>
      <c r="J269" s="4"/>
      <c r="K269" s="7"/>
      <c r="L269" s="2"/>
    </row>
    <row r="270">
      <c r="A270" s="3">
        <v>269.0</v>
      </c>
      <c r="B270" s="3" t="b">
        <v>0</v>
      </c>
      <c r="C270" s="9"/>
      <c r="D270" s="2"/>
      <c r="E270" s="10"/>
      <c r="F270" s="8"/>
      <c r="G270" s="8"/>
      <c r="H270" s="4"/>
      <c r="I270" s="9" t="str">
        <f>IF(C270 = "Smile", H270 + 'Over View'!$B$3, IF(C270 = "Bianco" , H270 + 'Over View'!$B$4, IF(C270 = "Giallo" , H270 + 'Over View'!$B$5, IF(C270 = "Blu" , H270 + 'Over View'!$B$6, IF(C270 = "Verde" , H270 + 'Over View'!$B$7, IF(C270 = "Rosso" , H270 + 'Over View'!$B$8, "Grado Non Inserito") )))))</f>
        <v>Grado Non Inserito</v>
      </c>
      <c r="J270" s="4"/>
      <c r="K270" s="7"/>
      <c r="L270" s="2"/>
    </row>
    <row r="271">
      <c r="A271" s="3">
        <v>270.0</v>
      </c>
      <c r="B271" s="3" t="b">
        <v>0</v>
      </c>
      <c r="C271" s="9"/>
      <c r="D271" s="2"/>
      <c r="E271" s="10"/>
      <c r="F271" s="8"/>
      <c r="G271" s="8"/>
      <c r="H271" s="4"/>
      <c r="I271" s="9" t="str">
        <f>IF(C271 = "Smile", H271 + 'Over View'!$B$3, IF(C271 = "Bianco" , H271 + 'Over View'!$B$4, IF(C271 = "Giallo" , H271 + 'Over View'!$B$5, IF(C271 = "Blu" , H271 + 'Over View'!$B$6, IF(C271 = "Verde" , H271 + 'Over View'!$B$7, IF(C271 = "Rosso" , H271 + 'Over View'!$B$8, "Grado Non Inserito") )))))</f>
        <v>Grado Non Inserito</v>
      </c>
      <c r="J271" s="4"/>
      <c r="K271" s="7"/>
      <c r="L271" s="2"/>
    </row>
    <row r="272">
      <c r="A272" s="3">
        <v>271.0</v>
      </c>
      <c r="B272" s="3" t="b">
        <v>0</v>
      </c>
      <c r="C272" s="9"/>
      <c r="D272" s="2"/>
      <c r="E272" s="10"/>
      <c r="F272" s="8"/>
      <c r="G272" s="8"/>
      <c r="H272" s="4"/>
      <c r="I272" s="9" t="str">
        <f>IF(C272 = "Smile", H272 + 'Over View'!$B$3, IF(C272 = "Bianco" , H272 + 'Over View'!$B$4, IF(C272 = "Giallo" , H272 + 'Over View'!$B$5, IF(C272 = "Blu" , H272 + 'Over View'!$B$6, IF(C272 = "Verde" , H272 + 'Over View'!$B$7, IF(C272 = "Rosso" , H272 + 'Over View'!$B$8, "Grado Non Inserito") )))))</f>
        <v>Grado Non Inserito</v>
      </c>
      <c r="J272" s="4"/>
      <c r="K272" s="7"/>
      <c r="L272" s="2"/>
    </row>
    <row r="273">
      <c r="A273" s="3">
        <v>272.0</v>
      </c>
      <c r="B273" s="3" t="b">
        <v>0</v>
      </c>
      <c r="C273" s="9"/>
      <c r="D273" s="2"/>
      <c r="E273" s="10"/>
      <c r="F273" s="8"/>
      <c r="G273" s="8"/>
      <c r="H273" s="4"/>
      <c r="I273" s="9" t="str">
        <f>IF(C273 = "Smile", H273 + 'Over View'!$B$3, IF(C273 = "Bianco" , H273 + 'Over View'!$B$4, IF(C273 = "Giallo" , H273 + 'Over View'!$B$5, IF(C273 = "Blu" , H273 + 'Over View'!$B$6, IF(C273 = "Verde" , H273 + 'Over View'!$B$7, IF(C273 = "Rosso" , H273 + 'Over View'!$B$8, "Grado Non Inserito") )))))</f>
        <v>Grado Non Inserito</v>
      </c>
      <c r="J273" s="4"/>
      <c r="K273" s="7"/>
      <c r="L273" s="2"/>
    </row>
    <row r="274">
      <c r="A274" s="3">
        <v>273.0</v>
      </c>
      <c r="B274" s="3" t="b">
        <v>0</v>
      </c>
      <c r="C274" s="9"/>
      <c r="D274" s="2"/>
      <c r="E274" s="10"/>
      <c r="F274" s="8"/>
      <c r="G274" s="8"/>
      <c r="H274" s="4"/>
      <c r="I274" s="9" t="str">
        <f>IF(C274 = "Smile", H274 + 'Over View'!$B$3, IF(C274 = "Bianco" , H274 + 'Over View'!$B$4, IF(C274 = "Giallo" , H274 + 'Over View'!$B$5, IF(C274 = "Blu" , H274 + 'Over View'!$B$6, IF(C274 = "Verde" , H274 + 'Over View'!$B$7, IF(C274 = "Rosso" , H274 + 'Over View'!$B$8, "Grado Non Inserito") )))))</f>
        <v>Grado Non Inserito</v>
      </c>
      <c r="J274" s="4"/>
      <c r="K274" s="7"/>
      <c r="L274" s="2"/>
    </row>
    <row r="275">
      <c r="A275" s="3">
        <v>274.0</v>
      </c>
      <c r="B275" s="3" t="b">
        <v>0</v>
      </c>
      <c r="C275" s="9"/>
      <c r="D275" s="2"/>
      <c r="E275" s="10"/>
      <c r="F275" s="8"/>
      <c r="G275" s="8"/>
      <c r="H275" s="4"/>
      <c r="I275" s="9" t="str">
        <f>IF(C275 = "Smile", H275 + 'Over View'!$B$3, IF(C275 = "Bianco" , H275 + 'Over View'!$B$4, IF(C275 = "Giallo" , H275 + 'Over View'!$B$5, IF(C275 = "Blu" , H275 + 'Over View'!$B$6, IF(C275 = "Verde" , H275 + 'Over View'!$B$7, IF(C275 = "Rosso" , H275 + 'Over View'!$B$8, "Grado Non Inserito") )))))</f>
        <v>Grado Non Inserito</v>
      </c>
      <c r="J275" s="4"/>
      <c r="K275" s="7"/>
      <c r="L275" s="2"/>
    </row>
    <row r="276">
      <c r="A276" s="3">
        <v>275.0</v>
      </c>
      <c r="B276" s="3" t="b">
        <v>0</v>
      </c>
      <c r="C276" s="9"/>
      <c r="D276" s="2"/>
      <c r="E276" s="10"/>
      <c r="F276" s="8"/>
      <c r="G276" s="8"/>
      <c r="H276" s="4"/>
      <c r="I276" s="9" t="str">
        <f>IF(C276 = "Smile", H276 + 'Over View'!$B$3, IF(C276 = "Bianco" , H276 + 'Over View'!$B$4, IF(C276 = "Giallo" , H276 + 'Over View'!$B$5, IF(C276 = "Blu" , H276 + 'Over View'!$B$6, IF(C276 = "Verde" , H276 + 'Over View'!$B$7, IF(C276 = "Rosso" , H276 + 'Over View'!$B$8, "Grado Non Inserito") )))))</f>
        <v>Grado Non Inserito</v>
      </c>
      <c r="J276" s="4"/>
      <c r="K276" s="7"/>
      <c r="L276" s="2"/>
    </row>
    <row r="277">
      <c r="A277" s="3">
        <v>276.0</v>
      </c>
      <c r="B277" s="3" t="b">
        <v>0</v>
      </c>
      <c r="C277" s="9"/>
      <c r="D277" s="2"/>
      <c r="E277" s="10"/>
      <c r="F277" s="8"/>
      <c r="G277" s="8"/>
      <c r="H277" s="4"/>
      <c r="I277" s="9" t="str">
        <f>IF(C277 = "Smile", H277 + 'Over View'!$B$3, IF(C277 = "Bianco" , H277 + 'Over View'!$B$4, IF(C277 = "Giallo" , H277 + 'Over View'!$B$5, IF(C277 = "Blu" , H277 + 'Over View'!$B$6, IF(C277 = "Verde" , H277 + 'Over View'!$B$7, IF(C277 = "Rosso" , H277 + 'Over View'!$B$8, "Grado Non Inserito") )))))</f>
        <v>Grado Non Inserito</v>
      </c>
      <c r="J277" s="4"/>
      <c r="K277" s="7"/>
      <c r="L277" s="2"/>
    </row>
    <row r="278">
      <c r="A278" s="3">
        <v>277.0</v>
      </c>
      <c r="B278" s="3" t="b">
        <v>0</v>
      </c>
      <c r="C278" s="9"/>
      <c r="D278" s="2"/>
      <c r="E278" s="10"/>
      <c r="F278" s="8"/>
      <c r="G278" s="8"/>
      <c r="H278" s="4"/>
      <c r="I278" s="9" t="str">
        <f>IF(C278 = "Smile", H278 + 'Over View'!$B$3, IF(C278 = "Bianco" , H278 + 'Over View'!$B$4, IF(C278 = "Giallo" , H278 + 'Over View'!$B$5, IF(C278 = "Blu" , H278 + 'Over View'!$B$6, IF(C278 = "Verde" , H278 + 'Over View'!$B$7, IF(C278 = "Rosso" , H278 + 'Over View'!$B$8, "Grado Non Inserito") )))))</f>
        <v>Grado Non Inserito</v>
      </c>
      <c r="J278" s="4"/>
      <c r="K278" s="7"/>
      <c r="L278" s="2"/>
    </row>
    <row r="279">
      <c r="A279" s="3">
        <v>278.0</v>
      </c>
      <c r="B279" s="3" t="b">
        <v>0</v>
      </c>
      <c r="C279" s="9"/>
      <c r="D279" s="2"/>
      <c r="E279" s="10"/>
      <c r="F279" s="8"/>
      <c r="G279" s="8"/>
      <c r="H279" s="4"/>
      <c r="I279" s="9" t="str">
        <f>IF(C279 = "Smile", H279 + 'Over View'!$B$3, IF(C279 = "Bianco" , H279 + 'Over View'!$B$4, IF(C279 = "Giallo" , H279 + 'Over View'!$B$5, IF(C279 = "Blu" , H279 + 'Over View'!$B$6, IF(C279 = "Verde" , H279 + 'Over View'!$B$7, IF(C279 = "Rosso" , H279 + 'Over View'!$B$8, "Grado Non Inserito") )))))</f>
        <v>Grado Non Inserito</v>
      </c>
      <c r="J279" s="4"/>
      <c r="K279" s="7"/>
      <c r="L279" s="2"/>
    </row>
    <row r="280">
      <c r="A280" s="3">
        <v>279.0</v>
      </c>
      <c r="B280" s="3" t="b">
        <v>0</v>
      </c>
      <c r="C280" s="9"/>
      <c r="D280" s="2"/>
      <c r="E280" s="10"/>
      <c r="F280" s="8"/>
      <c r="G280" s="8"/>
      <c r="H280" s="4"/>
      <c r="I280" s="9" t="str">
        <f>IF(C280 = "Smile", H280 + 'Over View'!$B$3, IF(C280 = "Bianco" , H280 + 'Over View'!$B$4, IF(C280 = "Giallo" , H280 + 'Over View'!$B$5, IF(C280 = "Blu" , H280 + 'Over View'!$B$6, IF(C280 = "Verde" , H280 + 'Over View'!$B$7, IF(C280 = "Rosso" , H280 + 'Over View'!$B$8, "Grado Non Inserito") )))))</f>
        <v>Grado Non Inserito</v>
      </c>
      <c r="J280" s="4"/>
      <c r="K280" s="7"/>
      <c r="L280" s="2"/>
    </row>
    <row r="281">
      <c r="A281" s="3">
        <v>280.0</v>
      </c>
      <c r="B281" s="3" t="b">
        <v>0</v>
      </c>
      <c r="C281" s="9"/>
      <c r="D281" s="2"/>
      <c r="E281" s="10"/>
      <c r="F281" s="8"/>
      <c r="G281" s="8"/>
      <c r="H281" s="4"/>
      <c r="I281" s="9" t="str">
        <f>IF(C281 = "Smile", H281 + 'Over View'!$B$3, IF(C281 = "Bianco" , H281 + 'Over View'!$B$4, IF(C281 = "Giallo" , H281 + 'Over View'!$B$5, IF(C281 = "Blu" , H281 + 'Over View'!$B$6, IF(C281 = "Verde" , H281 + 'Over View'!$B$7, IF(C281 = "Rosso" , H281 + 'Over View'!$B$8, "Grado Non Inserito") )))))</f>
        <v>Grado Non Inserito</v>
      </c>
      <c r="J281" s="4"/>
      <c r="K281" s="7"/>
      <c r="L281" s="2"/>
    </row>
    <row r="282">
      <c r="A282" s="3">
        <v>281.0</v>
      </c>
      <c r="B282" s="3" t="b">
        <v>0</v>
      </c>
      <c r="C282" s="9"/>
      <c r="D282" s="2"/>
      <c r="E282" s="10"/>
      <c r="F282" s="8"/>
      <c r="G282" s="8"/>
      <c r="H282" s="4"/>
      <c r="I282" s="9" t="str">
        <f>IF(C282 = "Smile", H282 + 'Over View'!$B$3, IF(C282 = "Bianco" , H282 + 'Over View'!$B$4, IF(C282 = "Giallo" , H282 + 'Over View'!$B$5, IF(C282 = "Blu" , H282 + 'Over View'!$B$6, IF(C282 = "Verde" , H282 + 'Over View'!$B$7, IF(C282 = "Rosso" , H282 + 'Over View'!$B$8, "Grado Non Inserito") )))))</f>
        <v>Grado Non Inserito</v>
      </c>
      <c r="J282" s="4"/>
      <c r="K282" s="7"/>
      <c r="L282" s="2"/>
    </row>
    <row r="283">
      <c r="A283" s="3">
        <v>282.0</v>
      </c>
      <c r="B283" s="3" t="b">
        <v>0</v>
      </c>
      <c r="C283" s="9"/>
      <c r="D283" s="2"/>
      <c r="E283" s="10"/>
      <c r="F283" s="8"/>
      <c r="G283" s="8"/>
      <c r="H283" s="4"/>
      <c r="I283" s="9" t="str">
        <f>IF(C283 = "Smile", H283 + 'Over View'!$B$3, IF(C283 = "Bianco" , H283 + 'Over View'!$B$4, IF(C283 = "Giallo" , H283 + 'Over View'!$B$5, IF(C283 = "Blu" , H283 + 'Over View'!$B$6, IF(C283 = "Verde" , H283 + 'Over View'!$B$7, IF(C283 = "Rosso" , H283 + 'Over View'!$B$8, "Grado Non Inserito") )))))</f>
        <v>Grado Non Inserito</v>
      </c>
      <c r="J283" s="4"/>
      <c r="K283" s="7"/>
      <c r="L283" s="2"/>
    </row>
    <row r="284">
      <c r="A284" s="3">
        <v>283.0</v>
      </c>
      <c r="B284" s="3" t="b">
        <v>0</v>
      </c>
      <c r="C284" s="9"/>
      <c r="D284" s="2"/>
      <c r="E284" s="10"/>
      <c r="F284" s="8"/>
      <c r="G284" s="8"/>
      <c r="H284" s="4"/>
      <c r="I284" s="9" t="str">
        <f>IF(C284 = "Smile", H284 + 'Over View'!$B$3, IF(C284 = "Bianco" , H284 + 'Over View'!$B$4, IF(C284 = "Giallo" , H284 + 'Over View'!$B$5, IF(C284 = "Blu" , H284 + 'Over View'!$B$6, IF(C284 = "Verde" , H284 + 'Over View'!$B$7, IF(C284 = "Rosso" , H284 + 'Over View'!$B$8, "Grado Non Inserito") )))))</f>
        <v>Grado Non Inserito</v>
      </c>
      <c r="J284" s="4"/>
      <c r="K284" s="7"/>
      <c r="L284" s="2"/>
    </row>
    <row r="285">
      <c r="A285" s="3">
        <v>284.0</v>
      </c>
      <c r="B285" s="3" t="b">
        <v>0</v>
      </c>
      <c r="C285" s="9"/>
      <c r="D285" s="2"/>
      <c r="E285" s="10"/>
      <c r="F285" s="8"/>
      <c r="G285" s="8"/>
      <c r="H285" s="4"/>
      <c r="I285" s="9" t="str">
        <f>IF(C285 = "Smile", H285 + 'Over View'!$B$3, IF(C285 = "Bianco" , H285 + 'Over View'!$B$4, IF(C285 = "Giallo" , H285 + 'Over View'!$B$5, IF(C285 = "Blu" , H285 + 'Over View'!$B$6, IF(C285 = "Verde" , H285 + 'Over View'!$B$7, IF(C285 = "Rosso" , H285 + 'Over View'!$B$8, "Grado Non Inserito") )))))</f>
        <v>Grado Non Inserito</v>
      </c>
      <c r="J285" s="4"/>
      <c r="K285" s="7"/>
      <c r="L285" s="2"/>
    </row>
    <row r="286">
      <c r="A286" s="3">
        <v>285.0</v>
      </c>
      <c r="B286" s="3" t="b">
        <v>0</v>
      </c>
      <c r="C286" s="9"/>
      <c r="D286" s="2"/>
      <c r="E286" s="10"/>
      <c r="F286" s="8"/>
      <c r="G286" s="8"/>
      <c r="H286" s="4"/>
      <c r="I286" s="9" t="str">
        <f>IF(C286 = "Smile", H286 + 'Over View'!$B$3, IF(C286 = "Bianco" , H286 + 'Over View'!$B$4, IF(C286 = "Giallo" , H286 + 'Over View'!$B$5, IF(C286 = "Blu" , H286 + 'Over View'!$B$6, IF(C286 = "Verde" , H286 + 'Over View'!$B$7, IF(C286 = "Rosso" , H286 + 'Over View'!$B$8, "Grado Non Inserito") )))))</f>
        <v>Grado Non Inserito</v>
      </c>
      <c r="J286" s="4"/>
      <c r="K286" s="7"/>
      <c r="L286" s="2"/>
    </row>
    <row r="287">
      <c r="A287" s="3">
        <v>286.0</v>
      </c>
      <c r="B287" s="3" t="b">
        <v>0</v>
      </c>
      <c r="C287" s="9"/>
      <c r="D287" s="2"/>
      <c r="E287" s="10"/>
      <c r="F287" s="8"/>
      <c r="G287" s="8"/>
      <c r="H287" s="4"/>
      <c r="I287" s="9" t="str">
        <f>IF(C287 = "Smile", H287 + 'Over View'!$B$3, IF(C287 = "Bianco" , H287 + 'Over View'!$B$4, IF(C287 = "Giallo" , H287 + 'Over View'!$B$5, IF(C287 = "Blu" , H287 + 'Over View'!$B$6, IF(C287 = "Verde" , H287 + 'Over View'!$B$7, IF(C287 = "Rosso" , H287 + 'Over View'!$B$8, "Grado Non Inserito") )))))</f>
        <v>Grado Non Inserito</v>
      </c>
      <c r="J287" s="4"/>
      <c r="K287" s="7"/>
      <c r="L287" s="2"/>
    </row>
    <row r="288">
      <c r="A288" s="3">
        <v>287.0</v>
      </c>
      <c r="B288" s="3" t="b">
        <v>0</v>
      </c>
      <c r="C288" s="9"/>
      <c r="D288" s="2"/>
      <c r="E288" s="10"/>
      <c r="F288" s="8"/>
      <c r="G288" s="8"/>
      <c r="H288" s="4"/>
      <c r="I288" s="9" t="str">
        <f>IF(C288 = "Smile", H288 + 'Over View'!$B$3, IF(C288 = "Bianco" , H288 + 'Over View'!$B$4, IF(C288 = "Giallo" , H288 + 'Over View'!$B$5, IF(C288 = "Blu" , H288 + 'Over View'!$B$6, IF(C288 = "Verde" , H288 + 'Over View'!$B$7, IF(C288 = "Rosso" , H288 + 'Over View'!$B$8, "Grado Non Inserito") )))))</f>
        <v>Grado Non Inserito</v>
      </c>
      <c r="J288" s="4"/>
      <c r="K288" s="7"/>
      <c r="L288" s="2"/>
    </row>
    <row r="289">
      <c r="A289" s="3">
        <v>288.0</v>
      </c>
      <c r="B289" s="3" t="b">
        <v>0</v>
      </c>
      <c r="C289" s="9"/>
      <c r="D289" s="2"/>
      <c r="E289" s="10"/>
      <c r="F289" s="8"/>
      <c r="G289" s="8"/>
      <c r="H289" s="4"/>
      <c r="I289" s="9" t="str">
        <f>IF(C289 = "Smile", H289 + 'Over View'!$B$3, IF(C289 = "Bianco" , H289 + 'Over View'!$B$4, IF(C289 = "Giallo" , H289 + 'Over View'!$B$5, IF(C289 = "Blu" , H289 + 'Over View'!$B$6, IF(C289 = "Verde" , H289 + 'Over View'!$B$7, IF(C289 = "Rosso" , H289 + 'Over View'!$B$8, "Grado Non Inserito") )))))</f>
        <v>Grado Non Inserito</v>
      </c>
      <c r="J289" s="4"/>
      <c r="K289" s="7"/>
      <c r="L289" s="2"/>
    </row>
    <row r="290">
      <c r="A290" s="3">
        <v>289.0</v>
      </c>
      <c r="B290" s="3" t="b">
        <v>0</v>
      </c>
      <c r="C290" s="9"/>
      <c r="D290" s="2"/>
      <c r="E290" s="10"/>
      <c r="F290" s="8"/>
      <c r="G290" s="8"/>
      <c r="H290" s="4"/>
      <c r="I290" s="9" t="str">
        <f>IF(C290 = "Smile", H290 + 'Over View'!$B$3, IF(C290 = "Bianco" , H290 + 'Over View'!$B$4, IF(C290 = "Giallo" , H290 + 'Over View'!$B$5, IF(C290 = "Blu" , H290 + 'Over View'!$B$6, IF(C290 = "Verde" , H290 + 'Over View'!$B$7, IF(C290 = "Rosso" , H290 + 'Over View'!$B$8, "Grado Non Inserito") )))))</f>
        <v>Grado Non Inserito</v>
      </c>
      <c r="J290" s="4"/>
      <c r="K290" s="7"/>
      <c r="L290" s="2"/>
    </row>
    <row r="291">
      <c r="A291" s="3">
        <v>290.0</v>
      </c>
      <c r="B291" s="3" t="b">
        <v>0</v>
      </c>
      <c r="C291" s="9"/>
      <c r="D291" s="2"/>
      <c r="E291" s="10"/>
      <c r="F291" s="8"/>
      <c r="G291" s="8"/>
      <c r="H291" s="4"/>
      <c r="I291" s="9" t="str">
        <f>IF(C291 = "Smile", H291 + 'Over View'!$B$3, IF(C291 = "Bianco" , H291 + 'Over View'!$B$4, IF(C291 = "Giallo" , H291 + 'Over View'!$B$5, IF(C291 = "Blu" , H291 + 'Over View'!$B$6, IF(C291 = "Verde" , H291 + 'Over View'!$B$7, IF(C291 = "Rosso" , H291 + 'Over View'!$B$8, "Grado Non Inserito") )))))</f>
        <v>Grado Non Inserito</v>
      </c>
      <c r="J291" s="4"/>
      <c r="K291" s="7"/>
      <c r="L291" s="2"/>
    </row>
    <row r="292">
      <c r="A292" s="3">
        <v>291.0</v>
      </c>
      <c r="B292" s="3" t="b">
        <v>0</v>
      </c>
      <c r="C292" s="9"/>
      <c r="D292" s="2"/>
      <c r="E292" s="10"/>
      <c r="F292" s="8"/>
      <c r="G292" s="8"/>
      <c r="H292" s="4"/>
      <c r="I292" s="9" t="str">
        <f>IF(C292 = "Smile", H292 + 'Over View'!$B$3, IF(C292 = "Bianco" , H292 + 'Over View'!$B$4, IF(C292 = "Giallo" , H292 + 'Over View'!$B$5, IF(C292 = "Blu" , H292 + 'Over View'!$B$6, IF(C292 = "Verde" , H292 + 'Over View'!$B$7, IF(C292 = "Rosso" , H292 + 'Over View'!$B$8, "Grado Non Inserito") )))))</f>
        <v>Grado Non Inserito</v>
      </c>
      <c r="J292" s="4"/>
      <c r="K292" s="7"/>
      <c r="L292" s="2"/>
    </row>
    <row r="293">
      <c r="A293" s="3">
        <v>292.0</v>
      </c>
      <c r="B293" s="3" t="b">
        <v>0</v>
      </c>
      <c r="C293" s="9"/>
      <c r="D293" s="2"/>
      <c r="E293" s="10"/>
      <c r="F293" s="8"/>
      <c r="G293" s="8"/>
      <c r="H293" s="4"/>
      <c r="I293" s="9" t="str">
        <f>IF(C293 = "Smile", H293 + 'Over View'!$B$3, IF(C293 = "Bianco" , H293 + 'Over View'!$B$4, IF(C293 = "Giallo" , H293 + 'Over View'!$B$5, IF(C293 = "Blu" , H293 + 'Over View'!$B$6, IF(C293 = "Verde" , H293 + 'Over View'!$B$7, IF(C293 = "Rosso" , H293 + 'Over View'!$B$8, "Grado Non Inserito") )))))</f>
        <v>Grado Non Inserito</v>
      </c>
      <c r="J293" s="4"/>
      <c r="K293" s="7"/>
      <c r="L293" s="2"/>
    </row>
    <row r="294">
      <c r="A294" s="3">
        <v>293.0</v>
      </c>
      <c r="B294" s="3" t="b">
        <v>0</v>
      </c>
      <c r="C294" s="9"/>
      <c r="D294" s="2"/>
      <c r="E294" s="10"/>
      <c r="F294" s="8"/>
      <c r="G294" s="8"/>
      <c r="H294" s="4"/>
      <c r="I294" s="9" t="str">
        <f>IF(C294 = "Smile", H294 + 'Over View'!$B$3, IF(C294 = "Bianco" , H294 + 'Over View'!$B$4, IF(C294 = "Giallo" , H294 + 'Over View'!$B$5, IF(C294 = "Blu" , H294 + 'Over View'!$B$6, IF(C294 = "Verde" , H294 + 'Over View'!$B$7, IF(C294 = "Rosso" , H294 + 'Over View'!$B$8, "Grado Non Inserito") )))))</f>
        <v>Grado Non Inserito</v>
      </c>
      <c r="J294" s="4"/>
      <c r="K294" s="7"/>
      <c r="L294" s="2"/>
    </row>
    <row r="295">
      <c r="A295" s="3">
        <v>294.0</v>
      </c>
      <c r="B295" s="3" t="b">
        <v>0</v>
      </c>
      <c r="C295" s="9"/>
      <c r="D295" s="2"/>
      <c r="E295" s="10"/>
      <c r="F295" s="8"/>
      <c r="G295" s="8"/>
      <c r="H295" s="4"/>
      <c r="I295" s="9" t="str">
        <f>IF(C295 = "Smile", H295 + 'Over View'!$B$3, IF(C295 = "Bianco" , H295 + 'Over View'!$B$4, IF(C295 = "Giallo" , H295 + 'Over View'!$B$5, IF(C295 = "Blu" , H295 + 'Over View'!$B$6, IF(C295 = "Verde" , H295 + 'Over View'!$B$7, IF(C295 = "Rosso" , H295 + 'Over View'!$B$8, "Grado Non Inserito") )))))</f>
        <v>Grado Non Inserito</v>
      </c>
      <c r="J295" s="4"/>
      <c r="K295" s="7"/>
      <c r="L295" s="2"/>
    </row>
    <row r="296">
      <c r="A296" s="3">
        <v>295.0</v>
      </c>
      <c r="B296" s="3" t="b">
        <v>0</v>
      </c>
      <c r="C296" s="9"/>
      <c r="D296" s="2"/>
      <c r="E296" s="10"/>
      <c r="F296" s="8"/>
      <c r="G296" s="8"/>
      <c r="H296" s="4"/>
      <c r="I296" s="9" t="str">
        <f>IF(C296 = "Smile", H296 + 'Over View'!$B$3, IF(C296 = "Bianco" , H296 + 'Over View'!$B$4, IF(C296 = "Giallo" , H296 + 'Over View'!$B$5, IF(C296 = "Blu" , H296 + 'Over View'!$B$6, IF(C296 = "Verde" , H296 + 'Over View'!$B$7, IF(C296 = "Rosso" , H296 + 'Over View'!$B$8, "Grado Non Inserito") )))))</f>
        <v>Grado Non Inserito</v>
      </c>
      <c r="J296" s="4"/>
      <c r="K296" s="7"/>
      <c r="L296" s="2"/>
    </row>
    <row r="297">
      <c r="A297" s="3">
        <v>296.0</v>
      </c>
      <c r="B297" s="3" t="b">
        <v>0</v>
      </c>
      <c r="C297" s="9"/>
      <c r="D297" s="2"/>
      <c r="E297" s="10"/>
      <c r="F297" s="8"/>
      <c r="G297" s="8"/>
      <c r="H297" s="4"/>
      <c r="I297" s="9" t="str">
        <f>IF(C297 = "Smile", H297 + 'Over View'!$B$3, IF(C297 = "Bianco" , H297 + 'Over View'!$B$4, IF(C297 = "Giallo" , H297 + 'Over View'!$B$5, IF(C297 = "Blu" , H297 + 'Over View'!$B$6, IF(C297 = "Verde" , H297 + 'Over View'!$B$7, IF(C297 = "Rosso" , H297 + 'Over View'!$B$8, "Grado Non Inserito") )))))</f>
        <v>Grado Non Inserito</v>
      </c>
      <c r="J297" s="4"/>
      <c r="K297" s="7"/>
      <c r="L297" s="2"/>
    </row>
    <row r="298">
      <c r="A298" s="3">
        <v>297.0</v>
      </c>
      <c r="B298" s="3" t="b">
        <v>0</v>
      </c>
      <c r="C298" s="9"/>
      <c r="D298" s="2"/>
      <c r="E298" s="10"/>
      <c r="F298" s="8"/>
      <c r="G298" s="8"/>
      <c r="H298" s="4"/>
      <c r="I298" s="9" t="str">
        <f>IF(C298 = "Smile", H298 + 'Over View'!$B$3, IF(C298 = "Bianco" , H298 + 'Over View'!$B$4, IF(C298 = "Giallo" , H298 + 'Over View'!$B$5, IF(C298 = "Blu" , H298 + 'Over View'!$B$6, IF(C298 = "Verde" , H298 + 'Over View'!$B$7, IF(C298 = "Rosso" , H298 + 'Over View'!$B$8, "Grado Non Inserito") )))))</f>
        <v>Grado Non Inserito</v>
      </c>
      <c r="J298" s="4"/>
      <c r="K298" s="7"/>
      <c r="L298" s="2"/>
    </row>
    <row r="299">
      <c r="A299" s="3">
        <v>298.0</v>
      </c>
      <c r="B299" s="3" t="b">
        <v>0</v>
      </c>
      <c r="C299" s="9"/>
      <c r="D299" s="2"/>
      <c r="E299" s="10"/>
      <c r="F299" s="8"/>
      <c r="G299" s="8"/>
      <c r="H299" s="4"/>
      <c r="I299" s="9" t="str">
        <f>IF(C299 = "Smile", H299 + 'Over View'!$B$3, IF(C299 = "Bianco" , H299 + 'Over View'!$B$4, IF(C299 = "Giallo" , H299 + 'Over View'!$B$5, IF(C299 = "Blu" , H299 + 'Over View'!$B$6, IF(C299 = "Verde" , H299 + 'Over View'!$B$7, IF(C299 = "Rosso" , H299 + 'Over View'!$B$8, "Grado Non Inserito") )))))</f>
        <v>Grado Non Inserito</v>
      </c>
      <c r="J299" s="4"/>
      <c r="K299" s="7"/>
      <c r="L299" s="2"/>
    </row>
    <row r="300">
      <c r="A300" s="3">
        <v>299.0</v>
      </c>
      <c r="B300" s="3" t="b">
        <v>0</v>
      </c>
      <c r="C300" s="9"/>
      <c r="D300" s="2"/>
      <c r="E300" s="10"/>
      <c r="F300" s="8"/>
      <c r="G300" s="8"/>
      <c r="H300" s="4"/>
      <c r="I300" s="9" t="str">
        <f>IF(C300 = "Smile", H300 + 'Over View'!$B$3, IF(C300 = "Bianco" , H300 + 'Over View'!$B$4, IF(C300 = "Giallo" , H300 + 'Over View'!$B$5, IF(C300 = "Blu" , H300 + 'Over View'!$B$6, IF(C300 = "Verde" , H300 + 'Over View'!$B$7, IF(C300 = "Rosso" , H300 + 'Over View'!$B$8, "Grado Non Inserito") )))))</f>
        <v>Grado Non Inserito</v>
      </c>
      <c r="J300" s="4"/>
      <c r="K300" s="7"/>
      <c r="L300" s="2"/>
    </row>
    <row r="301">
      <c r="A301" s="3">
        <v>300.0</v>
      </c>
      <c r="B301" s="3" t="b">
        <v>0</v>
      </c>
      <c r="C301" s="9"/>
      <c r="D301" s="2"/>
      <c r="E301" s="10"/>
      <c r="F301" s="8"/>
      <c r="G301" s="8"/>
      <c r="H301" s="4"/>
      <c r="I301" s="9" t="str">
        <f>IF(C301 = "Smile", H301 + 'Over View'!$B$3, IF(C301 = "Bianco" , H301 + 'Over View'!$B$4, IF(C301 = "Giallo" , H301 + 'Over View'!$B$5, IF(C301 = "Blu" , H301 + 'Over View'!$B$6, IF(C301 = "Verde" , H301 + 'Over View'!$B$7, IF(C301 = "Rosso" , H301 + 'Over View'!$B$8, "Grado Non Inserito") )))))</f>
        <v>Grado Non Inserito</v>
      </c>
      <c r="J301" s="4"/>
      <c r="K301" s="7"/>
      <c r="L301" s="2"/>
    </row>
    <row r="302">
      <c r="A302" s="3">
        <v>301.0</v>
      </c>
      <c r="B302" s="3" t="b">
        <v>0</v>
      </c>
      <c r="C302" s="9"/>
      <c r="D302" s="2"/>
      <c r="E302" s="10"/>
      <c r="F302" s="8"/>
      <c r="G302" s="8"/>
      <c r="H302" s="4"/>
      <c r="I302" s="9" t="str">
        <f>IF(C302 = "Smile", H302 + 'Over View'!$B$3, IF(C302 = "Bianco" , H302 + 'Over View'!$B$4, IF(C302 = "Giallo" , H302 + 'Over View'!$B$5, IF(C302 = "Blu" , H302 + 'Over View'!$B$6, IF(C302 = "Verde" , H302 + 'Over View'!$B$7, IF(C302 = "Rosso" , H302 + 'Over View'!$B$8, "Grado Non Inserito") )))))</f>
        <v>Grado Non Inserito</v>
      </c>
      <c r="J302" s="4"/>
      <c r="K302" s="7"/>
      <c r="L302" s="2"/>
    </row>
    <row r="303">
      <c r="A303" s="3">
        <v>302.0</v>
      </c>
      <c r="B303" s="3" t="b">
        <v>0</v>
      </c>
      <c r="C303" s="9"/>
      <c r="D303" s="2"/>
      <c r="E303" s="10"/>
      <c r="F303" s="8"/>
      <c r="G303" s="8"/>
      <c r="H303" s="4"/>
      <c r="I303" s="9" t="str">
        <f>IF(C303 = "Smile", H303 + 'Over View'!$B$3, IF(C303 = "Bianco" , H303 + 'Over View'!$B$4, IF(C303 = "Giallo" , H303 + 'Over View'!$B$5, IF(C303 = "Blu" , H303 + 'Over View'!$B$6, IF(C303 = "Verde" , H303 + 'Over View'!$B$7, IF(C303 = "Rosso" , H303 + 'Over View'!$B$8, "Grado Non Inserito") )))))</f>
        <v>Grado Non Inserito</v>
      </c>
      <c r="J303" s="4"/>
      <c r="K303" s="7"/>
      <c r="L303" s="2"/>
    </row>
    <row r="304">
      <c r="A304" s="3">
        <v>303.0</v>
      </c>
      <c r="B304" s="3" t="b">
        <v>0</v>
      </c>
      <c r="C304" s="9"/>
      <c r="D304" s="2"/>
      <c r="E304" s="10"/>
      <c r="F304" s="8"/>
      <c r="G304" s="8"/>
      <c r="H304" s="4"/>
      <c r="I304" s="9" t="str">
        <f>IF(C304 = "Smile", H304 + 'Over View'!$B$3, IF(C304 = "Bianco" , H304 + 'Over View'!$B$4, IF(C304 = "Giallo" , H304 + 'Over View'!$B$5, IF(C304 = "Blu" , H304 + 'Over View'!$B$6, IF(C304 = "Verde" , H304 + 'Over View'!$B$7, IF(C304 = "Rosso" , H304 + 'Over View'!$B$8, "Grado Non Inserito") )))))</f>
        <v>Grado Non Inserito</v>
      </c>
      <c r="J304" s="4"/>
      <c r="K304" s="7"/>
      <c r="L304" s="2"/>
    </row>
    <row r="305">
      <c r="A305" s="3">
        <v>304.0</v>
      </c>
      <c r="B305" s="3" t="b">
        <v>0</v>
      </c>
      <c r="C305" s="9"/>
      <c r="D305" s="2"/>
      <c r="E305" s="10"/>
      <c r="F305" s="8"/>
      <c r="G305" s="8"/>
      <c r="H305" s="4"/>
      <c r="I305" s="9" t="str">
        <f>IF(C305 = "Smile", H305 + 'Over View'!$B$3, IF(C305 = "Bianco" , H305 + 'Over View'!$B$4, IF(C305 = "Giallo" , H305 + 'Over View'!$B$5, IF(C305 = "Blu" , H305 + 'Over View'!$B$6, IF(C305 = "Verde" , H305 + 'Over View'!$B$7, IF(C305 = "Rosso" , H305 + 'Over View'!$B$8, "Grado Non Inserito") )))))</f>
        <v>Grado Non Inserito</v>
      </c>
      <c r="J305" s="4"/>
      <c r="K305" s="7"/>
      <c r="L305" s="2"/>
    </row>
    <row r="306">
      <c r="A306" s="3">
        <v>305.0</v>
      </c>
      <c r="B306" s="3" t="b">
        <v>0</v>
      </c>
      <c r="C306" s="9"/>
      <c r="D306" s="2"/>
      <c r="E306" s="10"/>
      <c r="F306" s="8"/>
      <c r="G306" s="8"/>
      <c r="H306" s="4"/>
      <c r="I306" s="9" t="str">
        <f>IF(C306 = "Smile", H306 + 'Over View'!$B$3, IF(C306 = "Bianco" , H306 + 'Over View'!$B$4, IF(C306 = "Giallo" , H306 + 'Over View'!$B$5, IF(C306 = "Blu" , H306 + 'Over View'!$B$6, IF(C306 = "Verde" , H306 + 'Over View'!$B$7, IF(C306 = "Rosso" , H306 + 'Over View'!$B$8, "Grado Non Inserito") )))))</f>
        <v>Grado Non Inserito</v>
      </c>
      <c r="J306" s="4"/>
      <c r="K306" s="7"/>
      <c r="L306" s="2"/>
    </row>
    <row r="307">
      <c r="A307" s="3">
        <v>306.0</v>
      </c>
      <c r="B307" s="3" t="b">
        <v>0</v>
      </c>
      <c r="C307" s="9"/>
      <c r="D307" s="2"/>
      <c r="E307" s="10"/>
      <c r="F307" s="8"/>
      <c r="G307" s="8"/>
      <c r="H307" s="4"/>
      <c r="I307" s="9" t="str">
        <f>IF(C307 = "Smile", H307 + 'Over View'!$B$3, IF(C307 = "Bianco" , H307 + 'Over View'!$B$4, IF(C307 = "Giallo" , H307 + 'Over View'!$B$5, IF(C307 = "Blu" , H307 + 'Over View'!$B$6, IF(C307 = "Verde" , H307 + 'Over View'!$B$7, IF(C307 = "Rosso" , H307 + 'Over View'!$B$8, "Grado Non Inserito") )))))</f>
        <v>Grado Non Inserito</v>
      </c>
      <c r="J307" s="4"/>
      <c r="K307" s="7"/>
      <c r="L307" s="2"/>
    </row>
    <row r="308">
      <c r="A308" s="3">
        <v>307.0</v>
      </c>
      <c r="B308" s="3" t="b">
        <v>0</v>
      </c>
      <c r="C308" s="9"/>
      <c r="D308" s="2"/>
      <c r="E308" s="10"/>
      <c r="F308" s="8"/>
      <c r="G308" s="8"/>
      <c r="H308" s="4"/>
      <c r="I308" s="9" t="str">
        <f>IF(C308 = "Smile", H308 + 'Over View'!$B$3, IF(C308 = "Bianco" , H308 + 'Over View'!$B$4, IF(C308 = "Giallo" , H308 + 'Over View'!$B$5, IF(C308 = "Blu" , H308 + 'Over View'!$B$6, IF(C308 = "Verde" , H308 + 'Over View'!$B$7, IF(C308 = "Rosso" , H308 + 'Over View'!$B$8, "Grado Non Inserito") )))))</f>
        <v>Grado Non Inserito</v>
      </c>
      <c r="J308" s="4"/>
      <c r="K308" s="7"/>
      <c r="L308" s="2"/>
    </row>
    <row r="309">
      <c r="A309" s="3">
        <v>308.0</v>
      </c>
      <c r="B309" s="3" t="b">
        <v>0</v>
      </c>
      <c r="C309" s="9"/>
      <c r="D309" s="2"/>
      <c r="E309" s="10"/>
      <c r="F309" s="8"/>
      <c r="G309" s="8"/>
      <c r="H309" s="4"/>
      <c r="I309" s="9" t="str">
        <f>IF(C309 = "Smile", H309 + 'Over View'!$B$3, IF(C309 = "Bianco" , H309 + 'Over View'!$B$4, IF(C309 = "Giallo" , H309 + 'Over View'!$B$5, IF(C309 = "Blu" , H309 + 'Over View'!$B$6, IF(C309 = "Verde" , H309 + 'Over View'!$B$7, IF(C309 = "Rosso" , H309 + 'Over View'!$B$8, "Grado Non Inserito") )))))</f>
        <v>Grado Non Inserito</v>
      </c>
      <c r="J309" s="4"/>
      <c r="K309" s="7"/>
      <c r="L309" s="2"/>
    </row>
    <row r="310">
      <c r="A310" s="3">
        <v>309.0</v>
      </c>
      <c r="B310" s="3" t="b">
        <v>0</v>
      </c>
      <c r="C310" s="9"/>
      <c r="D310" s="2"/>
      <c r="E310" s="10"/>
      <c r="F310" s="8"/>
      <c r="G310" s="8"/>
      <c r="H310" s="4"/>
      <c r="I310" s="9" t="str">
        <f>IF(C310 = "Smile", H310 + 'Over View'!$B$3, IF(C310 = "Bianco" , H310 + 'Over View'!$B$4, IF(C310 = "Giallo" , H310 + 'Over View'!$B$5, IF(C310 = "Blu" , H310 + 'Over View'!$B$6, IF(C310 = "Verde" , H310 + 'Over View'!$B$7, IF(C310 = "Rosso" , H310 + 'Over View'!$B$8, "Grado Non Inserito") )))))</f>
        <v>Grado Non Inserito</v>
      </c>
      <c r="J310" s="4"/>
      <c r="K310" s="7"/>
      <c r="L310" s="2"/>
    </row>
    <row r="311">
      <c r="A311" s="3">
        <v>310.0</v>
      </c>
      <c r="B311" s="3" t="b">
        <v>0</v>
      </c>
      <c r="C311" s="9"/>
      <c r="D311" s="2"/>
      <c r="E311" s="10"/>
      <c r="F311" s="8"/>
      <c r="G311" s="8"/>
      <c r="H311" s="4"/>
      <c r="I311" s="9" t="str">
        <f>IF(C311 = "Smile", H311 + 'Over View'!$B$3, IF(C311 = "Bianco" , H311 + 'Over View'!$B$4, IF(C311 = "Giallo" , H311 + 'Over View'!$B$5, IF(C311 = "Blu" , H311 + 'Over View'!$B$6, IF(C311 = "Verde" , H311 + 'Over View'!$B$7, IF(C311 = "Rosso" , H311 + 'Over View'!$B$8, "Grado Non Inserito") )))))</f>
        <v>Grado Non Inserito</v>
      </c>
      <c r="J311" s="4"/>
      <c r="K311" s="7"/>
      <c r="L311" s="2"/>
    </row>
    <row r="312">
      <c r="A312" s="3">
        <v>311.0</v>
      </c>
      <c r="B312" s="3" t="b">
        <v>0</v>
      </c>
      <c r="C312" s="9"/>
      <c r="D312" s="2"/>
      <c r="E312" s="10"/>
      <c r="F312" s="8"/>
      <c r="G312" s="8"/>
      <c r="H312" s="4"/>
      <c r="I312" s="9" t="str">
        <f>IF(C312 = "Smile", H312 + 'Over View'!$B$3, IF(C312 = "Bianco" , H312 + 'Over View'!$B$4, IF(C312 = "Giallo" , H312 + 'Over View'!$B$5, IF(C312 = "Blu" , H312 + 'Over View'!$B$6, IF(C312 = "Verde" , H312 + 'Over View'!$B$7, IF(C312 = "Rosso" , H312 + 'Over View'!$B$8, "Grado Non Inserito") )))))</f>
        <v>Grado Non Inserito</v>
      </c>
      <c r="J312" s="4"/>
      <c r="K312" s="7"/>
      <c r="L312" s="2"/>
    </row>
    <row r="313">
      <c r="A313" s="3">
        <v>312.0</v>
      </c>
      <c r="B313" s="3" t="b">
        <v>0</v>
      </c>
      <c r="C313" s="9"/>
      <c r="D313" s="2"/>
      <c r="E313" s="10"/>
      <c r="F313" s="8"/>
      <c r="G313" s="8"/>
      <c r="H313" s="4"/>
      <c r="I313" s="9" t="str">
        <f>IF(C313 = "Smile", H313 + 'Over View'!$B$3, IF(C313 = "Bianco" , H313 + 'Over View'!$B$4, IF(C313 = "Giallo" , H313 + 'Over View'!$B$5, IF(C313 = "Blu" , H313 + 'Over View'!$B$6, IF(C313 = "Verde" , H313 + 'Over View'!$B$7, IF(C313 = "Rosso" , H313 + 'Over View'!$B$8, "Grado Non Inserito") )))))</f>
        <v>Grado Non Inserito</v>
      </c>
      <c r="J313" s="4"/>
      <c r="K313" s="7"/>
      <c r="L313" s="2"/>
    </row>
    <row r="314">
      <c r="A314" s="3">
        <v>313.0</v>
      </c>
      <c r="B314" s="3" t="b">
        <v>0</v>
      </c>
      <c r="C314" s="9"/>
      <c r="D314" s="2"/>
      <c r="E314" s="10"/>
      <c r="F314" s="8"/>
      <c r="G314" s="8"/>
      <c r="H314" s="4"/>
      <c r="I314" s="9" t="str">
        <f>IF(C314 = "Smile", H314 + 'Over View'!$B$3, IF(C314 = "Bianco" , H314 + 'Over View'!$B$4, IF(C314 = "Giallo" , H314 + 'Over View'!$B$5, IF(C314 = "Blu" , H314 + 'Over View'!$B$6, IF(C314 = "Verde" , H314 + 'Over View'!$B$7, IF(C314 = "Rosso" , H314 + 'Over View'!$B$8, "Grado Non Inserito") )))))</f>
        <v>Grado Non Inserito</v>
      </c>
      <c r="J314" s="4"/>
      <c r="K314" s="7"/>
      <c r="L314" s="2"/>
    </row>
    <row r="315">
      <c r="A315" s="3">
        <v>314.0</v>
      </c>
      <c r="B315" s="3" t="b">
        <v>0</v>
      </c>
      <c r="C315" s="9"/>
      <c r="D315" s="2"/>
      <c r="E315" s="10"/>
      <c r="F315" s="8"/>
      <c r="G315" s="8"/>
      <c r="H315" s="4"/>
      <c r="I315" s="9" t="str">
        <f>IF(C315 = "Smile", H315 + 'Over View'!$B$3, IF(C315 = "Bianco" , H315 + 'Over View'!$B$4, IF(C315 = "Giallo" , H315 + 'Over View'!$B$5, IF(C315 = "Blu" , H315 + 'Over View'!$B$6, IF(C315 = "Verde" , H315 + 'Over View'!$B$7, IF(C315 = "Rosso" , H315 + 'Over View'!$B$8, "Grado Non Inserito") )))))</f>
        <v>Grado Non Inserito</v>
      </c>
      <c r="J315" s="4"/>
      <c r="K315" s="7"/>
      <c r="L315" s="2"/>
    </row>
    <row r="316">
      <c r="A316" s="3">
        <v>315.0</v>
      </c>
      <c r="B316" s="3" t="b">
        <v>0</v>
      </c>
      <c r="C316" s="9"/>
      <c r="D316" s="2"/>
      <c r="E316" s="10"/>
      <c r="F316" s="8"/>
      <c r="G316" s="8"/>
      <c r="H316" s="4"/>
      <c r="I316" s="9" t="str">
        <f>IF(C316 = "Smile", H316 + 'Over View'!$B$3, IF(C316 = "Bianco" , H316 + 'Over View'!$B$4, IF(C316 = "Giallo" , H316 + 'Over View'!$B$5, IF(C316 = "Blu" , H316 + 'Over View'!$B$6, IF(C316 = "Verde" , H316 + 'Over View'!$B$7, IF(C316 = "Rosso" , H316 + 'Over View'!$B$8, "Grado Non Inserito") )))))</f>
        <v>Grado Non Inserito</v>
      </c>
      <c r="J316" s="4"/>
      <c r="K316" s="7"/>
      <c r="L316" s="2"/>
    </row>
    <row r="317">
      <c r="A317" s="3">
        <v>316.0</v>
      </c>
      <c r="B317" s="3" t="b">
        <v>0</v>
      </c>
      <c r="C317" s="9"/>
      <c r="D317" s="2"/>
      <c r="E317" s="10"/>
      <c r="F317" s="8"/>
      <c r="G317" s="8"/>
      <c r="H317" s="4"/>
      <c r="I317" s="9" t="str">
        <f>IF(C317 = "Smile", H317 + 'Over View'!$B$3, IF(C317 = "Bianco" , H317 + 'Over View'!$B$4, IF(C317 = "Giallo" , H317 + 'Over View'!$B$5, IF(C317 = "Blu" , H317 + 'Over View'!$B$6, IF(C317 = "Verde" , H317 + 'Over View'!$B$7, IF(C317 = "Rosso" , H317 + 'Over View'!$B$8, "Grado Non Inserito") )))))</f>
        <v>Grado Non Inserito</v>
      </c>
      <c r="J317" s="4"/>
      <c r="K317" s="7"/>
      <c r="L317" s="2"/>
    </row>
    <row r="318">
      <c r="A318" s="3">
        <v>317.0</v>
      </c>
      <c r="B318" s="3" t="b">
        <v>0</v>
      </c>
      <c r="C318" s="9"/>
      <c r="D318" s="2"/>
      <c r="E318" s="10"/>
      <c r="F318" s="8"/>
      <c r="G318" s="8"/>
      <c r="H318" s="4"/>
      <c r="I318" s="9" t="str">
        <f>IF(C318 = "Smile", H318 + 'Over View'!$B$3, IF(C318 = "Bianco" , H318 + 'Over View'!$B$4, IF(C318 = "Giallo" , H318 + 'Over View'!$B$5, IF(C318 = "Blu" , H318 + 'Over View'!$B$6, IF(C318 = "Verde" , H318 + 'Over View'!$B$7, IF(C318 = "Rosso" , H318 + 'Over View'!$B$8, "Grado Non Inserito") )))))</f>
        <v>Grado Non Inserito</v>
      </c>
      <c r="J318" s="4"/>
      <c r="K318" s="7"/>
      <c r="L318" s="2"/>
    </row>
    <row r="319">
      <c r="A319" s="3">
        <v>318.0</v>
      </c>
      <c r="B319" s="3" t="b">
        <v>0</v>
      </c>
      <c r="C319" s="9"/>
      <c r="D319" s="2"/>
      <c r="E319" s="10"/>
      <c r="F319" s="8"/>
      <c r="G319" s="8"/>
      <c r="H319" s="4"/>
      <c r="I319" s="9" t="str">
        <f>IF(C319 = "Smile", H319 + 'Over View'!$B$3, IF(C319 = "Bianco" , H319 + 'Over View'!$B$4, IF(C319 = "Giallo" , H319 + 'Over View'!$B$5, IF(C319 = "Blu" , H319 + 'Over View'!$B$6, IF(C319 = "Verde" , H319 + 'Over View'!$B$7, IF(C319 = "Rosso" , H319 + 'Over View'!$B$8, "Grado Non Inserito") )))))</f>
        <v>Grado Non Inserito</v>
      </c>
      <c r="J319" s="4"/>
      <c r="K319" s="7"/>
      <c r="L319" s="2"/>
    </row>
    <row r="320">
      <c r="A320" s="3">
        <v>319.0</v>
      </c>
      <c r="B320" s="3" t="b">
        <v>0</v>
      </c>
      <c r="C320" s="9"/>
      <c r="D320" s="2"/>
      <c r="E320" s="10"/>
      <c r="F320" s="8"/>
      <c r="G320" s="8"/>
      <c r="H320" s="4"/>
      <c r="I320" s="9" t="str">
        <f>IF(C320 = "Smile", H320 + 'Over View'!$B$3, IF(C320 = "Bianco" , H320 + 'Over View'!$B$4, IF(C320 = "Giallo" , H320 + 'Over View'!$B$5, IF(C320 = "Blu" , H320 + 'Over View'!$B$6, IF(C320 = "Verde" , H320 + 'Over View'!$B$7, IF(C320 = "Rosso" , H320 + 'Over View'!$B$8, "Grado Non Inserito") )))))</f>
        <v>Grado Non Inserito</v>
      </c>
      <c r="J320" s="4"/>
      <c r="K320" s="7"/>
      <c r="L320" s="2"/>
    </row>
    <row r="321">
      <c r="A321" s="3">
        <v>320.0</v>
      </c>
      <c r="B321" s="3" t="b">
        <v>0</v>
      </c>
      <c r="C321" s="9"/>
      <c r="D321" s="2"/>
      <c r="E321" s="10"/>
      <c r="F321" s="8"/>
      <c r="G321" s="8"/>
      <c r="H321" s="4"/>
      <c r="I321" s="9" t="str">
        <f>IF(C321 = "Smile", H321 + 'Over View'!$B$3, IF(C321 = "Bianco" , H321 + 'Over View'!$B$4, IF(C321 = "Giallo" , H321 + 'Over View'!$B$5, IF(C321 = "Blu" , H321 + 'Over View'!$B$6, IF(C321 = "Verde" , H321 + 'Over View'!$B$7, IF(C321 = "Rosso" , H321 + 'Over View'!$B$8, "Grado Non Inserito") )))))</f>
        <v>Grado Non Inserito</v>
      </c>
      <c r="J321" s="4"/>
      <c r="K321" s="7"/>
      <c r="L321" s="2"/>
    </row>
    <row r="322">
      <c r="A322" s="3">
        <v>321.0</v>
      </c>
      <c r="B322" s="3" t="b">
        <v>0</v>
      </c>
      <c r="C322" s="9"/>
      <c r="D322" s="2"/>
      <c r="E322" s="10"/>
      <c r="F322" s="8"/>
      <c r="G322" s="8"/>
      <c r="H322" s="4"/>
      <c r="I322" s="9" t="str">
        <f>IF(C322 = "Smile", H322 + 'Over View'!$B$3, IF(C322 = "Bianco" , H322 + 'Over View'!$B$4, IF(C322 = "Giallo" , H322 + 'Over View'!$B$5, IF(C322 = "Blu" , H322 + 'Over View'!$B$6, IF(C322 = "Verde" , H322 + 'Over View'!$B$7, IF(C322 = "Rosso" , H322 + 'Over View'!$B$8, "Grado Non Inserito") )))))</f>
        <v>Grado Non Inserito</v>
      </c>
      <c r="J322" s="4"/>
      <c r="K322" s="7"/>
      <c r="L322" s="2"/>
    </row>
    <row r="323">
      <c r="A323" s="3">
        <v>322.0</v>
      </c>
      <c r="B323" s="3" t="b">
        <v>0</v>
      </c>
      <c r="C323" s="9"/>
      <c r="D323" s="2"/>
      <c r="E323" s="10"/>
      <c r="F323" s="8"/>
      <c r="G323" s="8"/>
      <c r="H323" s="4"/>
      <c r="I323" s="9" t="str">
        <f>IF(C323 = "Smile", H323 + 'Over View'!$B$3, IF(C323 = "Bianco" , H323 + 'Over View'!$B$4, IF(C323 = "Giallo" , H323 + 'Over View'!$B$5, IF(C323 = "Blu" , H323 + 'Over View'!$B$6, IF(C323 = "Verde" , H323 + 'Over View'!$B$7, IF(C323 = "Rosso" , H323 + 'Over View'!$B$8, "Grado Non Inserito") )))))</f>
        <v>Grado Non Inserito</v>
      </c>
      <c r="J323" s="4"/>
      <c r="K323" s="7"/>
      <c r="L323" s="2"/>
    </row>
    <row r="324">
      <c r="A324" s="3">
        <v>323.0</v>
      </c>
      <c r="B324" s="3" t="b">
        <v>0</v>
      </c>
      <c r="C324" s="9"/>
      <c r="D324" s="2"/>
      <c r="E324" s="10"/>
      <c r="F324" s="8"/>
      <c r="G324" s="8"/>
      <c r="H324" s="4"/>
      <c r="I324" s="9" t="str">
        <f>IF(C324 = "Smile", H324 + 'Over View'!$B$3, IF(C324 = "Bianco" , H324 + 'Over View'!$B$4, IF(C324 = "Giallo" , H324 + 'Over View'!$B$5, IF(C324 = "Blu" , H324 + 'Over View'!$B$6, IF(C324 = "Verde" , H324 + 'Over View'!$B$7, IF(C324 = "Rosso" , H324 + 'Over View'!$B$8, "Grado Non Inserito") )))))</f>
        <v>Grado Non Inserito</v>
      </c>
      <c r="J324" s="4"/>
      <c r="K324" s="7"/>
      <c r="L324" s="2"/>
    </row>
    <row r="325">
      <c r="A325" s="3">
        <v>324.0</v>
      </c>
      <c r="B325" s="3" t="b">
        <v>0</v>
      </c>
      <c r="C325" s="9"/>
      <c r="D325" s="2"/>
      <c r="E325" s="10"/>
      <c r="F325" s="8"/>
      <c r="G325" s="8"/>
      <c r="H325" s="4"/>
      <c r="I325" s="9" t="str">
        <f>IF(C325 = "Smile", H325 + 'Over View'!$B$3, IF(C325 = "Bianco" , H325 + 'Over View'!$B$4, IF(C325 = "Giallo" , H325 + 'Over View'!$B$5, IF(C325 = "Blu" , H325 + 'Over View'!$B$6, IF(C325 = "Verde" , H325 + 'Over View'!$B$7, IF(C325 = "Rosso" , H325 + 'Over View'!$B$8, "Grado Non Inserito") )))))</f>
        <v>Grado Non Inserito</v>
      </c>
      <c r="J325" s="4"/>
      <c r="K325" s="7"/>
      <c r="L325" s="2"/>
    </row>
    <row r="326">
      <c r="A326" s="3">
        <v>325.0</v>
      </c>
      <c r="B326" s="3" t="b">
        <v>0</v>
      </c>
      <c r="C326" s="9"/>
      <c r="D326" s="2"/>
      <c r="E326" s="10"/>
      <c r="F326" s="8"/>
      <c r="G326" s="8"/>
      <c r="H326" s="4"/>
      <c r="I326" s="9" t="str">
        <f>IF(C326 = "Smile", H326 + 'Over View'!$B$3, IF(C326 = "Bianco" , H326 + 'Over View'!$B$4, IF(C326 = "Giallo" , H326 + 'Over View'!$B$5, IF(C326 = "Blu" , H326 + 'Over View'!$B$6, IF(C326 = "Verde" , H326 + 'Over View'!$B$7, IF(C326 = "Rosso" , H326 + 'Over View'!$B$8, "Grado Non Inserito") )))))</f>
        <v>Grado Non Inserito</v>
      </c>
      <c r="J326" s="4"/>
      <c r="K326" s="7"/>
      <c r="L326" s="2"/>
    </row>
    <row r="327">
      <c r="A327" s="3">
        <v>326.0</v>
      </c>
      <c r="B327" s="3" t="b">
        <v>0</v>
      </c>
      <c r="C327" s="9"/>
      <c r="D327" s="2"/>
      <c r="E327" s="10"/>
      <c r="F327" s="8"/>
      <c r="G327" s="8"/>
      <c r="H327" s="4"/>
      <c r="I327" s="9" t="str">
        <f>IF(C327 = "Smile", H327 + 'Over View'!$B$3, IF(C327 = "Bianco" , H327 + 'Over View'!$B$4, IF(C327 = "Giallo" , H327 + 'Over View'!$B$5, IF(C327 = "Blu" , H327 + 'Over View'!$B$6, IF(C327 = "Verde" , H327 + 'Over View'!$B$7, IF(C327 = "Rosso" , H327 + 'Over View'!$B$8, "Grado Non Inserito") )))))</f>
        <v>Grado Non Inserito</v>
      </c>
      <c r="J327" s="4"/>
      <c r="K327" s="7"/>
      <c r="L327" s="2"/>
    </row>
    <row r="328">
      <c r="A328" s="3">
        <v>327.0</v>
      </c>
      <c r="B328" s="3" t="b">
        <v>0</v>
      </c>
      <c r="C328" s="9"/>
      <c r="D328" s="2"/>
      <c r="E328" s="10"/>
      <c r="F328" s="8"/>
      <c r="G328" s="8"/>
      <c r="H328" s="4"/>
      <c r="I328" s="9" t="str">
        <f>IF(C328 = "Smile", H328 + 'Over View'!$B$3, IF(C328 = "Bianco" , H328 + 'Over View'!$B$4, IF(C328 = "Giallo" , H328 + 'Over View'!$B$5, IF(C328 = "Blu" , H328 + 'Over View'!$B$6, IF(C328 = "Verde" , H328 + 'Over View'!$B$7, IF(C328 = "Rosso" , H328 + 'Over View'!$B$8, "Grado Non Inserito") )))))</f>
        <v>Grado Non Inserito</v>
      </c>
      <c r="J328" s="4"/>
      <c r="K328" s="7"/>
      <c r="L328" s="2"/>
    </row>
    <row r="329">
      <c r="A329" s="3">
        <v>328.0</v>
      </c>
      <c r="B329" s="3" t="b">
        <v>0</v>
      </c>
      <c r="C329" s="9"/>
      <c r="D329" s="2"/>
      <c r="E329" s="10"/>
      <c r="F329" s="8"/>
      <c r="G329" s="8"/>
      <c r="H329" s="4"/>
      <c r="I329" s="9" t="str">
        <f>IF(C329 = "Smile", H329 + 'Over View'!$B$3, IF(C329 = "Bianco" , H329 + 'Over View'!$B$4, IF(C329 = "Giallo" , H329 + 'Over View'!$B$5, IF(C329 = "Blu" , H329 + 'Over View'!$B$6, IF(C329 = "Verde" , H329 + 'Over View'!$B$7, IF(C329 = "Rosso" , H329 + 'Over View'!$B$8, "Grado Non Inserito") )))))</f>
        <v>Grado Non Inserito</v>
      </c>
      <c r="J329" s="4"/>
      <c r="K329" s="7"/>
      <c r="L329" s="2"/>
    </row>
    <row r="330">
      <c r="A330" s="3">
        <v>329.0</v>
      </c>
      <c r="B330" s="3" t="b">
        <v>0</v>
      </c>
      <c r="C330" s="9"/>
      <c r="D330" s="2"/>
      <c r="E330" s="10"/>
      <c r="F330" s="8"/>
      <c r="G330" s="8"/>
      <c r="H330" s="4"/>
      <c r="I330" s="9" t="str">
        <f>IF(C330 = "Smile", H330 + 'Over View'!$B$3, IF(C330 = "Bianco" , H330 + 'Over View'!$B$4, IF(C330 = "Giallo" , H330 + 'Over View'!$B$5, IF(C330 = "Blu" , H330 + 'Over View'!$B$6, IF(C330 = "Verde" , H330 + 'Over View'!$B$7, IF(C330 = "Rosso" , H330 + 'Over View'!$B$8, "Grado Non Inserito") )))))</f>
        <v>Grado Non Inserito</v>
      </c>
      <c r="J330" s="4"/>
      <c r="K330" s="7"/>
      <c r="L330" s="2"/>
    </row>
    <row r="331">
      <c r="A331" s="3">
        <v>330.0</v>
      </c>
      <c r="B331" s="3" t="b">
        <v>0</v>
      </c>
      <c r="C331" s="9"/>
      <c r="D331" s="2"/>
      <c r="E331" s="10"/>
      <c r="F331" s="8"/>
      <c r="G331" s="8"/>
      <c r="H331" s="4"/>
      <c r="I331" s="9" t="str">
        <f>IF(C331 = "Smile", H331 + 'Over View'!$B$3, IF(C331 = "Bianco" , H331 + 'Over View'!$B$4, IF(C331 = "Giallo" , H331 + 'Over View'!$B$5, IF(C331 = "Blu" , H331 + 'Over View'!$B$6, IF(C331 = "Verde" , H331 + 'Over View'!$B$7, IF(C331 = "Rosso" , H331 + 'Over View'!$B$8, "Grado Non Inserito") )))))</f>
        <v>Grado Non Inserito</v>
      </c>
      <c r="J331" s="4"/>
      <c r="K331" s="7"/>
      <c r="L331" s="2"/>
    </row>
    <row r="332">
      <c r="A332" s="3">
        <v>331.0</v>
      </c>
      <c r="B332" s="3" t="b">
        <v>0</v>
      </c>
      <c r="C332" s="9"/>
      <c r="D332" s="2"/>
      <c r="E332" s="10"/>
      <c r="F332" s="8"/>
      <c r="G332" s="8"/>
      <c r="H332" s="4"/>
      <c r="I332" s="9" t="str">
        <f>IF(C332 = "Smile", H332 + 'Over View'!$B$3, IF(C332 = "Bianco" , H332 + 'Over View'!$B$4, IF(C332 = "Giallo" , H332 + 'Over View'!$B$5, IF(C332 = "Blu" , H332 + 'Over View'!$B$6, IF(C332 = "Verde" , H332 + 'Over View'!$B$7, IF(C332 = "Rosso" , H332 + 'Over View'!$B$8, "Grado Non Inserito") )))))</f>
        <v>Grado Non Inserito</v>
      </c>
      <c r="J332" s="4"/>
      <c r="K332" s="7"/>
      <c r="L332" s="2"/>
    </row>
    <row r="333">
      <c r="A333" s="3">
        <v>332.0</v>
      </c>
      <c r="B333" s="3" t="b">
        <v>0</v>
      </c>
      <c r="C333" s="9"/>
      <c r="D333" s="2"/>
      <c r="E333" s="10"/>
      <c r="F333" s="8"/>
      <c r="G333" s="8"/>
      <c r="H333" s="4"/>
      <c r="I333" s="9" t="str">
        <f>IF(C333 = "Smile", H333 + 'Over View'!$B$3, IF(C333 = "Bianco" , H333 + 'Over View'!$B$4, IF(C333 = "Giallo" , H333 + 'Over View'!$B$5, IF(C333 = "Blu" , H333 + 'Over View'!$B$6, IF(C333 = "Verde" , H333 + 'Over View'!$B$7, IF(C333 = "Rosso" , H333 + 'Over View'!$B$8, "Grado Non Inserito") )))))</f>
        <v>Grado Non Inserito</v>
      </c>
      <c r="J333" s="4"/>
      <c r="K333" s="7"/>
      <c r="L333" s="2"/>
    </row>
    <row r="334">
      <c r="A334" s="3">
        <v>333.0</v>
      </c>
      <c r="B334" s="3" t="b">
        <v>0</v>
      </c>
      <c r="C334" s="9"/>
      <c r="D334" s="2"/>
      <c r="E334" s="10"/>
      <c r="F334" s="8"/>
      <c r="G334" s="8"/>
      <c r="H334" s="4"/>
      <c r="I334" s="9" t="str">
        <f>IF(C334 = "Smile", H334 + 'Over View'!$B$3, IF(C334 = "Bianco" , H334 + 'Over View'!$B$4, IF(C334 = "Giallo" , H334 + 'Over View'!$B$5, IF(C334 = "Blu" , H334 + 'Over View'!$B$6, IF(C334 = "Verde" , H334 + 'Over View'!$B$7, IF(C334 = "Rosso" , H334 + 'Over View'!$B$8, "Grado Non Inserito") )))))</f>
        <v>Grado Non Inserito</v>
      </c>
      <c r="J334" s="4"/>
      <c r="K334" s="7"/>
      <c r="L334" s="2"/>
    </row>
    <row r="335">
      <c r="A335" s="3">
        <v>334.0</v>
      </c>
      <c r="B335" s="3" t="b">
        <v>0</v>
      </c>
      <c r="C335" s="9"/>
      <c r="D335" s="2"/>
      <c r="E335" s="10"/>
      <c r="F335" s="8"/>
      <c r="G335" s="8"/>
      <c r="H335" s="4"/>
      <c r="I335" s="9" t="str">
        <f>IF(C335 = "Smile", H335 + 'Over View'!$B$3, IF(C335 = "Bianco" , H335 + 'Over View'!$B$4, IF(C335 = "Giallo" , H335 + 'Over View'!$B$5, IF(C335 = "Blu" , H335 + 'Over View'!$B$6, IF(C335 = "Verde" , H335 + 'Over View'!$B$7, IF(C335 = "Rosso" , H335 + 'Over View'!$B$8, "Grado Non Inserito") )))))</f>
        <v>Grado Non Inserito</v>
      </c>
      <c r="J335" s="4"/>
      <c r="K335" s="7"/>
      <c r="L335" s="2"/>
    </row>
    <row r="336">
      <c r="A336" s="3">
        <v>335.0</v>
      </c>
      <c r="B336" s="3" t="b">
        <v>0</v>
      </c>
      <c r="C336" s="9"/>
      <c r="D336" s="2"/>
      <c r="E336" s="10"/>
      <c r="F336" s="8"/>
      <c r="G336" s="8"/>
      <c r="H336" s="4"/>
      <c r="I336" s="9" t="str">
        <f>IF(C336 = "Smile", H336 + 'Over View'!$B$3, IF(C336 = "Bianco" , H336 + 'Over View'!$B$4, IF(C336 = "Giallo" , H336 + 'Over View'!$B$5, IF(C336 = "Blu" , H336 + 'Over View'!$B$6, IF(C336 = "Verde" , H336 + 'Over View'!$B$7, IF(C336 = "Rosso" , H336 + 'Over View'!$B$8, "Grado Non Inserito") )))))</f>
        <v>Grado Non Inserito</v>
      </c>
      <c r="J336" s="4"/>
      <c r="K336" s="7"/>
      <c r="L336" s="2"/>
    </row>
    <row r="337">
      <c r="A337" s="3">
        <v>336.0</v>
      </c>
      <c r="B337" s="3" t="b">
        <v>0</v>
      </c>
      <c r="C337" s="9"/>
      <c r="D337" s="2"/>
      <c r="E337" s="10"/>
      <c r="F337" s="8"/>
      <c r="G337" s="8"/>
      <c r="H337" s="4"/>
      <c r="I337" s="9" t="str">
        <f>IF(C337 = "Smile", H337 + 'Over View'!$B$3, IF(C337 = "Bianco" , H337 + 'Over View'!$B$4, IF(C337 = "Giallo" , H337 + 'Over View'!$B$5, IF(C337 = "Blu" , H337 + 'Over View'!$B$6, IF(C337 = "Verde" , H337 + 'Over View'!$B$7, IF(C337 = "Rosso" , H337 + 'Over View'!$B$8, "Grado Non Inserito") )))))</f>
        <v>Grado Non Inserito</v>
      </c>
      <c r="J337" s="4"/>
      <c r="K337" s="7"/>
      <c r="L337" s="2"/>
    </row>
    <row r="338">
      <c r="A338" s="3">
        <v>337.0</v>
      </c>
      <c r="B338" s="3" t="b">
        <v>0</v>
      </c>
      <c r="C338" s="9"/>
      <c r="D338" s="2"/>
      <c r="E338" s="10"/>
      <c r="F338" s="8"/>
      <c r="G338" s="8"/>
      <c r="H338" s="4"/>
      <c r="I338" s="9" t="str">
        <f>IF(C338 = "Smile", H338 + 'Over View'!$B$3, IF(C338 = "Bianco" , H338 + 'Over View'!$B$4, IF(C338 = "Giallo" , H338 + 'Over View'!$B$5, IF(C338 = "Blu" , H338 + 'Over View'!$B$6, IF(C338 = "Verde" , H338 + 'Over View'!$B$7, IF(C338 = "Rosso" , H338 + 'Over View'!$B$8, "Grado Non Inserito") )))))</f>
        <v>Grado Non Inserito</v>
      </c>
      <c r="J338" s="4"/>
      <c r="K338" s="7"/>
      <c r="L338" s="2"/>
    </row>
    <row r="339">
      <c r="A339" s="3">
        <v>338.0</v>
      </c>
      <c r="B339" s="3" t="b">
        <v>0</v>
      </c>
      <c r="C339" s="9"/>
      <c r="D339" s="2"/>
      <c r="E339" s="10"/>
      <c r="F339" s="8"/>
      <c r="G339" s="8"/>
      <c r="H339" s="4"/>
      <c r="I339" s="9" t="str">
        <f>IF(C339 = "Smile", H339 + 'Over View'!$B$3, IF(C339 = "Bianco" , H339 + 'Over View'!$B$4, IF(C339 = "Giallo" , H339 + 'Over View'!$B$5, IF(C339 = "Blu" , H339 + 'Over View'!$B$6, IF(C339 = "Verde" , H339 + 'Over View'!$B$7, IF(C339 = "Rosso" , H339 + 'Over View'!$B$8, "Grado Non Inserito") )))))</f>
        <v>Grado Non Inserito</v>
      </c>
      <c r="J339" s="4"/>
      <c r="K339" s="7"/>
      <c r="L339" s="2"/>
    </row>
    <row r="340">
      <c r="A340" s="3">
        <v>339.0</v>
      </c>
      <c r="B340" s="3" t="b">
        <v>0</v>
      </c>
      <c r="C340" s="9"/>
      <c r="D340" s="2"/>
      <c r="E340" s="10"/>
      <c r="F340" s="8"/>
      <c r="G340" s="8"/>
      <c r="H340" s="4"/>
      <c r="I340" s="9" t="str">
        <f>IF(C340 = "Smile", H340 + 'Over View'!$B$3, IF(C340 = "Bianco" , H340 + 'Over View'!$B$4, IF(C340 = "Giallo" , H340 + 'Over View'!$B$5, IF(C340 = "Blu" , H340 + 'Over View'!$B$6, IF(C340 = "Verde" , H340 + 'Over View'!$B$7, IF(C340 = "Rosso" , H340 + 'Over View'!$B$8, "Grado Non Inserito") )))))</f>
        <v>Grado Non Inserito</v>
      </c>
      <c r="J340" s="4"/>
      <c r="K340" s="7"/>
      <c r="L340" s="2"/>
    </row>
    <row r="341">
      <c r="A341" s="3">
        <v>340.0</v>
      </c>
      <c r="B341" s="3" t="b">
        <v>0</v>
      </c>
      <c r="C341" s="9"/>
      <c r="D341" s="2"/>
      <c r="E341" s="10"/>
      <c r="F341" s="8"/>
      <c r="G341" s="8"/>
      <c r="H341" s="4"/>
      <c r="I341" s="9" t="str">
        <f>IF(C341 = "Smile", H341 + 'Over View'!$B$3, IF(C341 = "Bianco" , H341 + 'Over View'!$B$4, IF(C341 = "Giallo" , H341 + 'Over View'!$B$5, IF(C341 = "Blu" , H341 + 'Over View'!$B$6, IF(C341 = "Verde" , H341 + 'Over View'!$B$7, IF(C341 = "Rosso" , H341 + 'Over View'!$B$8, "Grado Non Inserito") )))))</f>
        <v>Grado Non Inserito</v>
      </c>
      <c r="J341" s="4"/>
      <c r="K341" s="7"/>
      <c r="L341" s="2"/>
    </row>
    <row r="342">
      <c r="A342" s="3">
        <v>341.0</v>
      </c>
      <c r="B342" s="3" t="b">
        <v>0</v>
      </c>
      <c r="C342" s="9"/>
      <c r="D342" s="2"/>
      <c r="E342" s="10"/>
      <c r="F342" s="8"/>
      <c r="G342" s="8"/>
      <c r="H342" s="4"/>
      <c r="I342" s="9" t="str">
        <f>IF(C342 = "Smile", H342 + 'Over View'!$B$3, IF(C342 = "Bianco" , H342 + 'Over View'!$B$4, IF(C342 = "Giallo" , H342 + 'Over View'!$B$5, IF(C342 = "Blu" , H342 + 'Over View'!$B$6, IF(C342 = "Verde" , H342 + 'Over View'!$B$7, IF(C342 = "Rosso" , H342 + 'Over View'!$B$8, "Grado Non Inserito") )))))</f>
        <v>Grado Non Inserito</v>
      </c>
      <c r="J342" s="4"/>
      <c r="K342" s="7"/>
      <c r="L342" s="2"/>
    </row>
    <row r="343">
      <c r="A343" s="3">
        <v>342.0</v>
      </c>
      <c r="B343" s="3" t="b">
        <v>0</v>
      </c>
      <c r="C343" s="9"/>
      <c r="D343" s="2"/>
      <c r="E343" s="10"/>
      <c r="F343" s="8"/>
      <c r="G343" s="8"/>
      <c r="H343" s="4"/>
      <c r="I343" s="9" t="str">
        <f>IF(C343 = "Smile", H343 + 'Over View'!$B$3, IF(C343 = "Bianco" , H343 + 'Over View'!$B$4, IF(C343 = "Giallo" , H343 + 'Over View'!$B$5, IF(C343 = "Blu" , H343 + 'Over View'!$B$6, IF(C343 = "Verde" , H343 + 'Over View'!$B$7, IF(C343 = "Rosso" , H343 + 'Over View'!$B$8, "Grado Non Inserito") )))))</f>
        <v>Grado Non Inserito</v>
      </c>
      <c r="J343" s="4"/>
      <c r="K343" s="7"/>
      <c r="L343" s="2"/>
    </row>
    <row r="344">
      <c r="A344" s="3">
        <v>343.0</v>
      </c>
      <c r="B344" s="3" t="b">
        <v>0</v>
      </c>
      <c r="C344" s="9"/>
      <c r="D344" s="2"/>
      <c r="E344" s="10"/>
      <c r="F344" s="8"/>
      <c r="G344" s="8"/>
      <c r="H344" s="4"/>
      <c r="I344" s="9" t="str">
        <f>IF(C344 = "Smile", H344 + 'Over View'!$B$3, IF(C344 = "Bianco" , H344 + 'Over View'!$B$4, IF(C344 = "Giallo" , H344 + 'Over View'!$B$5, IF(C344 = "Blu" , H344 + 'Over View'!$B$6, IF(C344 = "Verde" , H344 + 'Over View'!$B$7, IF(C344 = "Rosso" , H344 + 'Over View'!$B$8, "Grado Non Inserito") )))))</f>
        <v>Grado Non Inserito</v>
      </c>
      <c r="J344" s="4"/>
      <c r="K344" s="7"/>
      <c r="L344" s="2"/>
    </row>
    <row r="345">
      <c r="A345" s="3">
        <v>344.0</v>
      </c>
      <c r="B345" s="3" t="b">
        <v>0</v>
      </c>
      <c r="C345" s="9"/>
      <c r="D345" s="2"/>
      <c r="E345" s="10"/>
      <c r="F345" s="8"/>
      <c r="G345" s="8"/>
      <c r="H345" s="4"/>
      <c r="I345" s="9" t="str">
        <f>IF(C345 = "Smile", H345 + 'Over View'!$B$3, IF(C345 = "Bianco" , H345 + 'Over View'!$B$4, IF(C345 = "Giallo" , H345 + 'Over View'!$B$5, IF(C345 = "Blu" , H345 + 'Over View'!$B$6, IF(C345 = "Verde" , H345 + 'Over View'!$B$7, IF(C345 = "Rosso" , H345 + 'Over View'!$B$8, "Grado Non Inserito") )))))</f>
        <v>Grado Non Inserito</v>
      </c>
      <c r="J345" s="4"/>
      <c r="K345" s="7"/>
      <c r="L345" s="2"/>
    </row>
    <row r="346">
      <c r="A346" s="3">
        <v>345.0</v>
      </c>
      <c r="B346" s="3" t="b">
        <v>0</v>
      </c>
      <c r="C346" s="9"/>
      <c r="D346" s="2"/>
      <c r="E346" s="10"/>
      <c r="F346" s="8"/>
      <c r="G346" s="8"/>
      <c r="H346" s="4"/>
      <c r="I346" s="9" t="str">
        <f>IF(C346 = "Smile", H346 + 'Over View'!$B$3, IF(C346 = "Bianco" , H346 + 'Over View'!$B$4, IF(C346 = "Giallo" , H346 + 'Over View'!$B$5, IF(C346 = "Blu" , H346 + 'Over View'!$B$6, IF(C346 = "Verde" , H346 + 'Over View'!$B$7, IF(C346 = "Rosso" , H346 + 'Over View'!$B$8, "Grado Non Inserito") )))))</f>
        <v>Grado Non Inserito</v>
      </c>
      <c r="J346" s="4"/>
      <c r="K346" s="7"/>
      <c r="L346" s="2"/>
    </row>
    <row r="347">
      <c r="A347" s="3">
        <v>346.0</v>
      </c>
      <c r="B347" s="3" t="b">
        <v>0</v>
      </c>
      <c r="C347" s="9"/>
      <c r="D347" s="2"/>
      <c r="E347" s="10"/>
      <c r="F347" s="8"/>
      <c r="G347" s="8"/>
      <c r="H347" s="4"/>
      <c r="I347" s="9" t="str">
        <f>IF(C347 = "Smile", H347 + 'Over View'!$B$3, IF(C347 = "Bianco" , H347 + 'Over View'!$B$4, IF(C347 = "Giallo" , H347 + 'Over View'!$B$5, IF(C347 = "Blu" , H347 + 'Over View'!$B$6, IF(C347 = "Verde" , H347 + 'Over View'!$B$7, IF(C347 = "Rosso" , H347 + 'Over View'!$B$8, "Grado Non Inserito") )))))</f>
        <v>Grado Non Inserito</v>
      </c>
      <c r="J347" s="4"/>
      <c r="K347" s="7"/>
      <c r="L347" s="2"/>
    </row>
    <row r="348">
      <c r="A348" s="3">
        <v>347.0</v>
      </c>
      <c r="B348" s="3" t="b">
        <v>0</v>
      </c>
      <c r="C348" s="9"/>
      <c r="D348" s="2"/>
      <c r="E348" s="10"/>
      <c r="F348" s="8"/>
      <c r="G348" s="8"/>
      <c r="H348" s="4"/>
      <c r="I348" s="9" t="str">
        <f>IF(C348 = "Smile", H348 + 'Over View'!$B$3, IF(C348 = "Bianco" , H348 + 'Over View'!$B$4, IF(C348 = "Giallo" , H348 + 'Over View'!$B$5, IF(C348 = "Blu" , H348 + 'Over View'!$B$6, IF(C348 = "Verde" , H348 + 'Over View'!$B$7, IF(C348 = "Rosso" , H348 + 'Over View'!$B$8, "Grado Non Inserito") )))))</f>
        <v>Grado Non Inserito</v>
      </c>
      <c r="J348" s="4"/>
      <c r="K348" s="7"/>
      <c r="L348" s="2"/>
    </row>
    <row r="349">
      <c r="A349" s="3">
        <v>348.0</v>
      </c>
      <c r="B349" s="3" t="b">
        <v>0</v>
      </c>
      <c r="C349" s="9"/>
      <c r="D349" s="2"/>
      <c r="E349" s="10"/>
      <c r="F349" s="8"/>
      <c r="G349" s="8"/>
      <c r="H349" s="4"/>
      <c r="I349" s="9" t="str">
        <f>IF(C349 = "Smile", H349 + 'Over View'!$B$3, IF(C349 = "Bianco" , H349 + 'Over View'!$B$4, IF(C349 = "Giallo" , H349 + 'Over View'!$B$5, IF(C349 = "Blu" , H349 + 'Over View'!$B$6, IF(C349 = "Verde" , H349 + 'Over View'!$B$7, IF(C349 = "Rosso" , H349 + 'Over View'!$B$8, "Grado Non Inserito") )))))</f>
        <v>Grado Non Inserito</v>
      </c>
      <c r="J349" s="4"/>
      <c r="K349" s="7"/>
      <c r="L349" s="2"/>
    </row>
    <row r="350">
      <c r="A350" s="3">
        <v>349.0</v>
      </c>
      <c r="B350" s="3" t="b">
        <v>0</v>
      </c>
      <c r="C350" s="9"/>
      <c r="D350" s="2"/>
      <c r="E350" s="10"/>
      <c r="F350" s="8"/>
      <c r="G350" s="8"/>
      <c r="H350" s="4"/>
      <c r="I350" s="9" t="str">
        <f>IF(C350 = "Smile", H350 + 'Over View'!$B$3, IF(C350 = "Bianco" , H350 + 'Over View'!$B$4, IF(C350 = "Giallo" , H350 + 'Over View'!$B$5, IF(C350 = "Blu" , H350 + 'Over View'!$B$6, IF(C350 = "Verde" , H350 + 'Over View'!$B$7, IF(C350 = "Rosso" , H350 + 'Over View'!$B$8, "Grado Non Inserito") )))))</f>
        <v>Grado Non Inserito</v>
      </c>
      <c r="J350" s="4"/>
      <c r="K350" s="7"/>
      <c r="L350" s="2"/>
    </row>
    <row r="351">
      <c r="A351" s="3">
        <v>350.0</v>
      </c>
      <c r="B351" s="3" t="b">
        <v>0</v>
      </c>
      <c r="C351" s="9"/>
      <c r="D351" s="2"/>
      <c r="E351" s="10"/>
      <c r="F351" s="8"/>
      <c r="G351" s="8"/>
      <c r="H351" s="4"/>
      <c r="I351" s="9" t="str">
        <f>IF(C351 = "Smile", H351 + 'Over View'!$B$3, IF(C351 = "Bianco" , H351 + 'Over View'!$B$4, IF(C351 = "Giallo" , H351 + 'Over View'!$B$5, IF(C351 = "Blu" , H351 + 'Over View'!$B$6, IF(C351 = "Verde" , H351 + 'Over View'!$B$7, IF(C351 = "Rosso" , H351 + 'Over View'!$B$8, "Grado Non Inserito") )))))</f>
        <v>Grado Non Inserito</v>
      </c>
      <c r="J351" s="4"/>
      <c r="K351" s="7"/>
      <c r="L351" s="2"/>
    </row>
    <row r="352">
      <c r="A352" s="3">
        <v>351.0</v>
      </c>
      <c r="B352" s="3" t="b">
        <v>0</v>
      </c>
      <c r="C352" s="9"/>
      <c r="D352" s="2"/>
      <c r="E352" s="10"/>
      <c r="F352" s="8"/>
      <c r="G352" s="8"/>
      <c r="H352" s="4"/>
      <c r="I352" s="9" t="str">
        <f>IF(C352 = "Smile", H352 + 'Over View'!$B$3, IF(C352 = "Bianco" , H352 + 'Over View'!$B$4, IF(C352 = "Giallo" , H352 + 'Over View'!$B$5, IF(C352 = "Blu" , H352 + 'Over View'!$B$6, IF(C352 = "Verde" , H352 + 'Over View'!$B$7, IF(C352 = "Rosso" , H352 + 'Over View'!$B$8, "Grado Non Inserito") )))))</f>
        <v>Grado Non Inserito</v>
      </c>
      <c r="J352" s="4"/>
      <c r="K352" s="7"/>
      <c r="L352" s="2"/>
    </row>
    <row r="353">
      <c r="A353" s="3">
        <v>352.0</v>
      </c>
      <c r="B353" s="3" t="b">
        <v>0</v>
      </c>
      <c r="C353" s="9"/>
      <c r="D353" s="2"/>
      <c r="E353" s="10"/>
      <c r="F353" s="8"/>
      <c r="G353" s="8"/>
      <c r="H353" s="4"/>
      <c r="I353" s="9" t="str">
        <f>IF(C353 = "Smile", H353 + 'Over View'!$B$3, IF(C353 = "Bianco" , H353 + 'Over View'!$B$4, IF(C353 = "Giallo" , H353 + 'Over View'!$B$5, IF(C353 = "Blu" , H353 + 'Over View'!$B$6, IF(C353 = "Verde" , H353 + 'Over View'!$B$7, IF(C353 = "Rosso" , H353 + 'Over View'!$B$8, "Grado Non Inserito") )))))</f>
        <v>Grado Non Inserito</v>
      </c>
      <c r="J353" s="4"/>
      <c r="K353" s="7"/>
      <c r="L353" s="2"/>
    </row>
    <row r="354">
      <c r="A354" s="3">
        <v>353.0</v>
      </c>
      <c r="B354" s="3" t="b">
        <v>0</v>
      </c>
      <c r="C354" s="9"/>
      <c r="D354" s="2"/>
      <c r="E354" s="10"/>
      <c r="F354" s="8"/>
      <c r="G354" s="8"/>
      <c r="H354" s="4"/>
      <c r="I354" s="9" t="str">
        <f>IF(C354 = "Smile", H354 + 'Over View'!$B$3, IF(C354 = "Bianco" , H354 + 'Over View'!$B$4, IF(C354 = "Giallo" , H354 + 'Over View'!$B$5, IF(C354 = "Blu" , H354 + 'Over View'!$B$6, IF(C354 = "Verde" , H354 + 'Over View'!$B$7, IF(C354 = "Rosso" , H354 + 'Over View'!$B$8, "Grado Non Inserito") )))))</f>
        <v>Grado Non Inserito</v>
      </c>
      <c r="J354" s="4"/>
      <c r="K354" s="7"/>
      <c r="L354" s="2"/>
    </row>
    <row r="355">
      <c r="A355" s="3">
        <v>354.0</v>
      </c>
      <c r="B355" s="3" t="b">
        <v>0</v>
      </c>
      <c r="C355" s="9"/>
      <c r="D355" s="2"/>
      <c r="E355" s="10"/>
      <c r="F355" s="8"/>
      <c r="G355" s="8"/>
      <c r="H355" s="4"/>
      <c r="I355" s="9" t="str">
        <f>IF(C355 = "Smile", H355 + 'Over View'!$B$3, IF(C355 = "Bianco" , H355 + 'Over View'!$B$4, IF(C355 = "Giallo" , H355 + 'Over View'!$B$5, IF(C355 = "Blu" , H355 + 'Over View'!$B$6, IF(C355 = "Verde" , H355 + 'Over View'!$B$7, IF(C355 = "Rosso" , H355 + 'Over View'!$B$8, "Grado Non Inserito") )))))</f>
        <v>Grado Non Inserito</v>
      </c>
      <c r="J355" s="4"/>
      <c r="K355" s="7"/>
      <c r="L355" s="2"/>
    </row>
    <row r="356">
      <c r="A356" s="3">
        <v>355.0</v>
      </c>
      <c r="B356" s="3" t="b">
        <v>0</v>
      </c>
      <c r="C356" s="9"/>
      <c r="D356" s="2"/>
      <c r="E356" s="10"/>
      <c r="F356" s="8"/>
      <c r="G356" s="8"/>
      <c r="H356" s="4"/>
      <c r="I356" s="9" t="str">
        <f>IF(C356 = "Smile", H356 + 'Over View'!$B$3, IF(C356 = "Bianco" , H356 + 'Over View'!$B$4, IF(C356 = "Giallo" , H356 + 'Over View'!$B$5, IF(C356 = "Blu" , H356 + 'Over View'!$B$6, IF(C356 = "Verde" , H356 + 'Over View'!$B$7, IF(C356 = "Rosso" , H356 + 'Over View'!$B$8, "Grado Non Inserito") )))))</f>
        <v>Grado Non Inserito</v>
      </c>
      <c r="J356" s="4"/>
      <c r="K356" s="7"/>
      <c r="L356" s="2"/>
    </row>
    <row r="357">
      <c r="A357" s="3">
        <v>356.0</v>
      </c>
      <c r="B357" s="3" t="b">
        <v>0</v>
      </c>
      <c r="C357" s="9"/>
      <c r="D357" s="2"/>
      <c r="E357" s="10"/>
      <c r="F357" s="8"/>
      <c r="G357" s="8"/>
      <c r="H357" s="4"/>
      <c r="I357" s="9" t="str">
        <f>IF(C357 = "Smile", H357 + 'Over View'!$B$3, IF(C357 = "Bianco" , H357 + 'Over View'!$B$4, IF(C357 = "Giallo" , H357 + 'Over View'!$B$5, IF(C357 = "Blu" , H357 + 'Over View'!$B$6, IF(C357 = "Verde" , H357 + 'Over View'!$B$7, IF(C357 = "Rosso" , H357 + 'Over View'!$B$8, "Grado Non Inserito") )))))</f>
        <v>Grado Non Inserito</v>
      </c>
      <c r="J357" s="4"/>
      <c r="K357" s="7"/>
      <c r="L357" s="2"/>
    </row>
    <row r="358">
      <c r="A358" s="3">
        <v>357.0</v>
      </c>
      <c r="B358" s="3" t="b">
        <v>0</v>
      </c>
      <c r="C358" s="9"/>
      <c r="D358" s="2"/>
      <c r="E358" s="10"/>
      <c r="F358" s="8"/>
      <c r="G358" s="8"/>
      <c r="H358" s="4"/>
      <c r="I358" s="9" t="str">
        <f>IF(C358 = "Smile", H358 + 'Over View'!$B$3, IF(C358 = "Bianco" , H358 + 'Over View'!$B$4, IF(C358 = "Giallo" , H358 + 'Over View'!$B$5, IF(C358 = "Blu" , H358 + 'Over View'!$B$6, IF(C358 = "Verde" , H358 + 'Over View'!$B$7, IF(C358 = "Rosso" , H358 + 'Over View'!$B$8, "Grado Non Inserito") )))))</f>
        <v>Grado Non Inserito</v>
      </c>
      <c r="J358" s="4"/>
      <c r="K358" s="7"/>
      <c r="L358" s="2"/>
    </row>
    <row r="359">
      <c r="A359" s="3">
        <v>358.0</v>
      </c>
      <c r="B359" s="3" t="b">
        <v>0</v>
      </c>
      <c r="C359" s="9"/>
      <c r="D359" s="2"/>
      <c r="E359" s="10"/>
      <c r="F359" s="8"/>
      <c r="G359" s="8"/>
      <c r="H359" s="4"/>
      <c r="I359" s="9" t="str">
        <f>IF(C359 = "Smile", H359 + 'Over View'!$B$3, IF(C359 = "Bianco" , H359 + 'Over View'!$B$4, IF(C359 = "Giallo" , H359 + 'Over View'!$B$5, IF(C359 = "Blu" , H359 + 'Over View'!$B$6, IF(C359 = "Verde" , H359 + 'Over View'!$B$7, IF(C359 = "Rosso" , H359 + 'Over View'!$B$8, "Grado Non Inserito") )))))</f>
        <v>Grado Non Inserito</v>
      </c>
      <c r="J359" s="4"/>
      <c r="K359" s="7"/>
      <c r="L359" s="2"/>
    </row>
    <row r="360">
      <c r="A360" s="3">
        <v>359.0</v>
      </c>
      <c r="B360" s="3" t="b">
        <v>0</v>
      </c>
      <c r="C360" s="9"/>
      <c r="D360" s="2"/>
      <c r="E360" s="10"/>
      <c r="F360" s="8"/>
      <c r="G360" s="8"/>
      <c r="H360" s="4"/>
      <c r="I360" s="9" t="str">
        <f>IF(C360 = "Smile", H360 + 'Over View'!$B$3, IF(C360 = "Bianco" , H360 + 'Over View'!$B$4, IF(C360 = "Giallo" , H360 + 'Over View'!$B$5, IF(C360 = "Blu" , H360 + 'Over View'!$B$6, IF(C360 = "Verde" , H360 + 'Over View'!$B$7, IF(C360 = "Rosso" , H360 + 'Over View'!$B$8, "Grado Non Inserito") )))))</f>
        <v>Grado Non Inserito</v>
      </c>
      <c r="J360" s="4"/>
      <c r="K360" s="7"/>
      <c r="L360" s="2"/>
    </row>
    <row r="361">
      <c r="A361" s="3">
        <v>360.0</v>
      </c>
      <c r="B361" s="3" t="b">
        <v>0</v>
      </c>
      <c r="C361" s="9"/>
      <c r="D361" s="2"/>
      <c r="E361" s="10"/>
      <c r="F361" s="8"/>
      <c r="G361" s="8"/>
      <c r="H361" s="4"/>
      <c r="I361" s="9" t="str">
        <f>IF(C361 = "Smile", H361 + 'Over View'!$B$3, IF(C361 = "Bianco" , H361 + 'Over View'!$B$4, IF(C361 = "Giallo" , H361 + 'Over View'!$B$5, IF(C361 = "Blu" , H361 + 'Over View'!$B$6, IF(C361 = "Verde" , H361 + 'Over View'!$B$7, IF(C361 = "Rosso" , H361 + 'Over View'!$B$8, "Grado Non Inserito") )))))</f>
        <v>Grado Non Inserito</v>
      </c>
      <c r="J361" s="4"/>
      <c r="K361" s="7"/>
      <c r="L361" s="2"/>
    </row>
    <row r="362">
      <c r="A362" s="3">
        <v>361.0</v>
      </c>
      <c r="B362" s="3" t="b">
        <v>0</v>
      </c>
      <c r="C362" s="9"/>
      <c r="D362" s="2"/>
      <c r="E362" s="10"/>
      <c r="F362" s="8"/>
      <c r="G362" s="8"/>
      <c r="H362" s="4"/>
      <c r="I362" s="9" t="str">
        <f>IF(C362 = "Smile", H362 + 'Over View'!$B$3, IF(C362 = "Bianco" , H362 + 'Over View'!$B$4, IF(C362 = "Giallo" , H362 + 'Over View'!$B$5, IF(C362 = "Blu" , H362 + 'Over View'!$B$6, IF(C362 = "Verde" , H362 + 'Over View'!$B$7, IF(C362 = "Rosso" , H362 + 'Over View'!$B$8, "Grado Non Inserito") )))))</f>
        <v>Grado Non Inserito</v>
      </c>
      <c r="J362" s="4"/>
      <c r="K362" s="7"/>
      <c r="L362" s="2"/>
    </row>
    <row r="363">
      <c r="A363" s="3">
        <v>362.0</v>
      </c>
      <c r="B363" s="3" t="b">
        <v>0</v>
      </c>
      <c r="C363" s="9"/>
      <c r="D363" s="2"/>
      <c r="E363" s="10"/>
      <c r="F363" s="8"/>
      <c r="G363" s="8"/>
      <c r="H363" s="4"/>
      <c r="I363" s="9" t="str">
        <f>IF(C363 = "Smile", H363 + 'Over View'!$B$3, IF(C363 = "Bianco" , H363 + 'Over View'!$B$4, IF(C363 = "Giallo" , H363 + 'Over View'!$B$5, IF(C363 = "Blu" , H363 + 'Over View'!$B$6, IF(C363 = "Verde" , H363 + 'Over View'!$B$7, IF(C363 = "Rosso" , H363 + 'Over View'!$B$8, "Grado Non Inserito") )))))</f>
        <v>Grado Non Inserito</v>
      </c>
      <c r="J363" s="4"/>
      <c r="K363" s="7"/>
      <c r="L363" s="2"/>
    </row>
    <row r="364">
      <c r="A364" s="3">
        <v>363.0</v>
      </c>
      <c r="B364" s="3" t="b">
        <v>0</v>
      </c>
      <c r="C364" s="9"/>
      <c r="D364" s="2"/>
      <c r="E364" s="10"/>
      <c r="F364" s="8"/>
      <c r="G364" s="8"/>
      <c r="H364" s="4"/>
      <c r="I364" s="9" t="str">
        <f>IF(C364 = "Smile", H364 + 'Over View'!$B$3, IF(C364 = "Bianco" , H364 + 'Over View'!$B$4, IF(C364 = "Giallo" , H364 + 'Over View'!$B$5, IF(C364 = "Blu" , H364 + 'Over View'!$B$6, IF(C364 = "Verde" , H364 + 'Over View'!$B$7, IF(C364 = "Rosso" , H364 + 'Over View'!$B$8, "Grado Non Inserito") )))))</f>
        <v>Grado Non Inserito</v>
      </c>
      <c r="J364" s="4"/>
      <c r="K364" s="7"/>
      <c r="L364" s="2"/>
    </row>
    <row r="365">
      <c r="A365" s="3">
        <v>364.0</v>
      </c>
      <c r="B365" s="3" t="b">
        <v>0</v>
      </c>
      <c r="C365" s="9"/>
      <c r="D365" s="2"/>
      <c r="E365" s="10"/>
      <c r="F365" s="8"/>
      <c r="G365" s="8"/>
      <c r="H365" s="4"/>
      <c r="I365" s="9" t="str">
        <f>IF(C365 = "Smile", H365 + 'Over View'!$B$3, IF(C365 = "Bianco" , H365 + 'Over View'!$B$4, IF(C365 = "Giallo" , H365 + 'Over View'!$B$5, IF(C365 = "Blu" , H365 + 'Over View'!$B$6, IF(C365 = "Verde" , H365 + 'Over View'!$B$7, IF(C365 = "Rosso" , H365 + 'Over View'!$B$8, "Grado Non Inserito") )))))</f>
        <v>Grado Non Inserito</v>
      </c>
      <c r="J365" s="4"/>
      <c r="K365" s="7"/>
      <c r="L365" s="2"/>
    </row>
    <row r="366">
      <c r="A366" s="3">
        <v>365.0</v>
      </c>
      <c r="B366" s="3" t="b">
        <v>0</v>
      </c>
      <c r="C366" s="9"/>
      <c r="D366" s="2"/>
      <c r="E366" s="10"/>
      <c r="F366" s="8"/>
      <c r="G366" s="8"/>
      <c r="H366" s="4"/>
      <c r="I366" s="9" t="str">
        <f>IF(C366 = "Smile", H366 + 'Over View'!$B$3, IF(C366 = "Bianco" , H366 + 'Over View'!$B$4, IF(C366 = "Giallo" , H366 + 'Over View'!$B$5, IF(C366 = "Blu" , H366 + 'Over View'!$B$6, IF(C366 = "Verde" , H366 + 'Over View'!$B$7, IF(C366 = "Rosso" , H366 + 'Over View'!$B$8, "Grado Non Inserito") )))))</f>
        <v>Grado Non Inserito</v>
      </c>
      <c r="J366" s="4"/>
      <c r="K366" s="7"/>
      <c r="L366" s="2"/>
    </row>
    <row r="367">
      <c r="A367" s="3">
        <v>366.0</v>
      </c>
      <c r="B367" s="3" t="b">
        <v>0</v>
      </c>
      <c r="C367" s="9"/>
      <c r="D367" s="2"/>
      <c r="E367" s="10"/>
      <c r="F367" s="8"/>
      <c r="G367" s="8"/>
      <c r="H367" s="4"/>
      <c r="I367" s="9" t="str">
        <f>IF(C367 = "Smile", H367 + 'Over View'!$B$3, IF(C367 = "Bianco" , H367 + 'Over View'!$B$4, IF(C367 = "Giallo" , H367 + 'Over View'!$B$5, IF(C367 = "Blu" , H367 + 'Over View'!$B$6, IF(C367 = "Verde" , H367 + 'Over View'!$B$7, IF(C367 = "Rosso" , H367 + 'Over View'!$B$8, "Grado Non Inserito") )))))</f>
        <v>Grado Non Inserito</v>
      </c>
      <c r="J367" s="4"/>
      <c r="K367" s="7"/>
      <c r="L367" s="2"/>
    </row>
    <row r="368">
      <c r="A368" s="3">
        <v>367.0</v>
      </c>
      <c r="B368" s="3" t="b">
        <v>0</v>
      </c>
      <c r="C368" s="9"/>
      <c r="D368" s="2"/>
      <c r="E368" s="10"/>
      <c r="F368" s="8"/>
      <c r="G368" s="8"/>
      <c r="H368" s="4"/>
      <c r="I368" s="9" t="str">
        <f>IF(C368 = "Smile", H368 + 'Over View'!$B$3, IF(C368 = "Bianco" , H368 + 'Over View'!$B$4, IF(C368 = "Giallo" , H368 + 'Over View'!$B$5, IF(C368 = "Blu" , H368 + 'Over View'!$B$6, IF(C368 = "Verde" , H368 + 'Over View'!$B$7, IF(C368 = "Rosso" , H368 + 'Over View'!$B$8, "Grado Non Inserito") )))))</f>
        <v>Grado Non Inserito</v>
      </c>
      <c r="J368" s="4"/>
      <c r="K368" s="7"/>
      <c r="L368" s="2"/>
    </row>
    <row r="369">
      <c r="A369" s="3">
        <v>368.0</v>
      </c>
      <c r="B369" s="3" t="b">
        <v>0</v>
      </c>
      <c r="C369" s="9"/>
      <c r="D369" s="2"/>
      <c r="E369" s="10"/>
      <c r="F369" s="8"/>
      <c r="G369" s="8"/>
      <c r="H369" s="4"/>
      <c r="I369" s="9" t="str">
        <f>IF(C369 = "Smile", H369 + 'Over View'!$B$3, IF(C369 = "Bianco" , H369 + 'Over View'!$B$4, IF(C369 = "Giallo" , H369 + 'Over View'!$B$5, IF(C369 = "Blu" , H369 + 'Over View'!$B$6, IF(C369 = "Verde" , H369 + 'Over View'!$B$7, IF(C369 = "Rosso" , H369 + 'Over View'!$B$8, "Grado Non Inserito") )))))</f>
        <v>Grado Non Inserito</v>
      </c>
      <c r="J369" s="4"/>
      <c r="K369" s="7"/>
      <c r="L369" s="2"/>
    </row>
    <row r="370">
      <c r="A370" s="3">
        <v>369.0</v>
      </c>
      <c r="B370" s="3" t="b">
        <v>0</v>
      </c>
      <c r="C370" s="9"/>
      <c r="D370" s="2"/>
      <c r="E370" s="10"/>
      <c r="F370" s="8"/>
      <c r="G370" s="8"/>
      <c r="H370" s="4"/>
      <c r="I370" s="9" t="str">
        <f>IF(C370 = "Smile", H370 + 'Over View'!$B$3, IF(C370 = "Bianco" , H370 + 'Over View'!$B$4, IF(C370 = "Giallo" , H370 + 'Over View'!$B$5, IF(C370 = "Blu" , H370 + 'Over View'!$B$6, IF(C370 = "Verde" , H370 + 'Over View'!$B$7, IF(C370 = "Rosso" , H370 + 'Over View'!$B$8, "Grado Non Inserito") )))))</f>
        <v>Grado Non Inserito</v>
      </c>
      <c r="J370" s="4"/>
      <c r="K370" s="7"/>
      <c r="L370" s="2"/>
    </row>
    <row r="371">
      <c r="A371" s="3">
        <v>370.0</v>
      </c>
      <c r="B371" s="3" t="b">
        <v>0</v>
      </c>
      <c r="C371" s="9"/>
      <c r="D371" s="2"/>
      <c r="E371" s="10"/>
      <c r="F371" s="8"/>
      <c r="G371" s="8"/>
      <c r="H371" s="4"/>
      <c r="I371" s="9" t="str">
        <f>IF(C371 = "Smile", H371 + 'Over View'!$B$3, IF(C371 = "Bianco" , H371 + 'Over View'!$B$4, IF(C371 = "Giallo" , H371 + 'Over View'!$B$5, IF(C371 = "Blu" , H371 + 'Over View'!$B$6, IF(C371 = "Verde" , H371 + 'Over View'!$B$7, IF(C371 = "Rosso" , H371 + 'Over View'!$B$8, "Grado Non Inserito") )))))</f>
        <v>Grado Non Inserito</v>
      </c>
      <c r="J371" s="4"/>
      <c r="K371" s="7"/>
      <c r="L371" s="2"/>
    </row>
    <row r="372">
      <c r="A372" s="3">
        <v>371.0</v>
      </c>
      <c r="B372" s="3" t="b">
        <v>0</v>
      </c>
      <c r="C372" s="9"/>
      <c r="D372" s="2"/>
      <c r="E372" s="10"/>
      <c r="F372" s="8"/>
      <c r="G372" s="8"/>
      <c r="H372" s="4"/>
      <c r="I372" s="9" t="str">
        <f>IF(C372 = "Smile", H372 + 'Over View'!$B$3, IF(C372 = "Bianco" , H372 + 'Over View'!$B$4, IF(C372 = "Giallo" , H372 + 'Over View'!$B$5, IF(C372 = "Blu" , H372 + 'Over View'!$B$6, IF(C372 = "Verde" , H372 + 'Over View'!$B$7, IF(C372 = "Rosso" , H372 + 'Over View'!$B$8, "Grado Non Inserito") )))))</f>
        <v>Grado Non Inserito</v>
      </c>
      <c r="J372" s="4"/>
      <c r="K372" s="7"/>
      <c r="L372" s="2"/>
    </row>
    <row r="373">
      <c r="A373" s="3">
        <v>372.0</v>
      </c>
      <c r="B373" s="3" t="b">
        <v>0</v>
      </c>
      <c r="C373" s="9"/>
      <c r="D373" s="2"/>
      <c r="E373" s="10"/>
      <c r="F373" s="8"/>
      <c r="G373" s="8"/>
      <c r="H373" s="4"/>
      <c r="I373" s="9" t="str">
        <f>IF(C373 = "Smile", H373 + 'Over View'!$B$3, IF(C373 = "Bianco" , H373 + 'Over View'!$B$4, IF(C373 = "Giallo" , H373 + 'Over View'!$B$5, IF(C373 = "Blu" , H373 + 'Over View'!$B$6, IF(C373 = "Verde" , H373 + 'Over View'!$B$7, IF(C373 = "Rosso" , H373 + 'Over View'!$B$8, "Grado Non Inserito") )))))</f>
        <v>Grado Non Inserito</v>
      </c>
      <c r="J373" s="4"/>
      <c r="K373" s="7"/>
      <c r="L373" s="2"/>
    </row>
    <row r="374">
      <c r="A374" s="3">
        <v>373.0</v>
      </c>
      <c r="B374" s="3" t="b">
        <v>0</v>
      </c>
      <c r="C374" s="9"/>
      <c r="D374" s="2"/>
      <c r="E374" s="10"/>
      <c r="F374" s="8"/>
      <c r="G374" s="8"/>
      <c r="H374" s="4"/>
      <c r="I374" s="9" t="str">
        <f>IF(C374 = "Smile", H374 + 'Over View'!$B$3, IF(C374 = "Bianco" , H374 + 'Over View'!$B$4, IF(C374 = "Giallo" , H374 + 'Over View'!$B$5, IF(C374 = "Blu" , H374 + 'Over View'!$B$6, IF(C374 = "Verde" , H374 + 'Over View'!$B$7, IF(C374 = "Rosso" , H374 + 'Over View'!$B$8, "Grado Non Inserito") )))))</f>
        <v>Grado Non Inserito</v>
      </c>
      <c r="J374" s="4"/>
      <c r="K374" s="7"/>
      <c r="L374" s="2"/>
    </row>
    <row r="375">
      <c r="A375" s="3">
        <v>374.0</v>
      </c>
      <c r="B375" s="3" t="b">
        <v>0</v>
      </c>
      <c r="C375" s="9"/>
      <c r="D375" s="2"/>
      <c r="E375" s="10"/>
      <c r="F375" s="8"/>
      <c r="G375" s="8"/>
      <c r="H375" s="4"/>
      <c r="I375" s="9" t="str">
        <f>IF(C375 = "Smile", H375 + 'Over View'!$B$3, IF(C375 = "Bianco" , H375 + 'Over View'!$B$4, IF(C375 = "Giallo" , H375 + 'Over View'!$B$5, IF(C375 = "Blu" , H375 + 'Over View'!$B$6, IF(C375 = "Verde" , H375 + 'Over View'!$B$7, IF(C375 = "Rosso" , H375 + 'Over View'!$B$8, "Grado Non Inserito") )))))</f>
        <v>Grado Non Inserito</v>
      </c>
      <c r="J375" s="4"/>
      <c r="K375" s="7"/>
      <c r="L375" s="2"/>
    </row>
    <row r="376">
      <c r="A376" s="3">
        <v>375.0</v>
      </c>
      <c r="B376" s="3" t="b">
        <v>0</v>
      </c>
      <c r="C376" s="9"/>
      <c r="D376" s="2"/>
      <c r="E376" s="10"/>
      <c r="F376" s="8"/>
      <c r="G376" s="8"/>
      <c r="H376" s="4"/>
      <c r="I376" s="9" t="str">
        <f>IF(C376 = "Smile", H376 + 'Over View'!$B$3, IF(C376 = "Bianco" , H376 + 'Over View'!$B$4, IF(C376 = "Giallo" , H376 + 'Over View'!$B$5, IF(C376 = "Blu" , H376 + 'Over View'!$B$6, IF(C376 = "Verde" , H376 + 'Over View'!$B$7, IF(C376 = "Rosso" , H376 + 'Over View'!$B$8, "Grado Non Inserito") )))))</f>
        <v>Grado Non Inserito</v>
      </c>
      <c r="J376" s="4"/>
      <c r="K376" s="7"/>
      <c r="L376" s="2"/>
    </row>
    <row r="377">
      <c r="A377" s="3">
        <v>376.0</v>
      </c>
      <c r="B377" s="3" t="b">
        <v>0</v>
      </c>
      <c r="C377" s="9"/>
      <c r="D377" s="2"/>
      <c r="E377" s="10"/>
      <c r="F377" s="8"/>
      <c r="G377" s="8"/>
      <c r="H377" s="4"/>
      <c r="I377" s="9" t="str">
        <f>IF(C377 = "Smile", H377 + 'Over View'!$B$3, IF(C377 = "Bianco" , H377 + 'Over View'!$B$4, IF(C377 = "Giallo" , H377 + 'Over View'!$B$5, IF(C377 = "Blu" , H377 + 'Over View'!$B$6, IF(C377 = "Verde" , H377 + 'Over View'!$B$7, IF(C377 = "Rosso" , H377 + 'Over View'!$B$8, "Grado Non Inserito") )))))</f>
        <v>Grado Non Inserito</v>
      </c>
      <c r="J377" s="4"/>
      <c r="K377" s="7"/>
      <c r="L377" s="2"/>
    </row>
    <row r="378">
      <c r="A378" s="3">
        <v>377.0</v>
      </c>
      <c r="B378" s="3" t="b">
        <v>0</v>
      </c>
      <c r="C378" s="9"/>
      <c r="D378" s="2"/>
      <c r="E378" s="10"/>
      <c r="F378" s="8"/>
      <c r="G378" s="8"/>
      <c r="H378" s="4"/>
      <c r="I378" s="9" t="str">
        <f>IF(C378 = "Smile", H378 + 'Over View'!$B$3, IF(C378 = "Bianco" , H378 + 'Over View'!$B$4, IF(C378 = "Giallo" , H378 + 'Over View'!$B$5, IF(C378 = "Blu" , H378 + 'Over View'!$B$6, IF(C378 = "Verde" , H378 + 'Over View'!$B$7, IF(C378 = "Rosso" , H378 + 'Over View'!$B$8, "Grado Non Inserito") )))))</f>
        <v>Grado Non Inserito</v>
      </c>
      <c r="J378" s="4"/>
      <c r="K378" s="7"/>
      <c r="L378" s="2"/>
    </row>
    <row r="379">
      <c r="A379" s="3">
        <v>378.0</v>
      </c>
      <c r="B379" s="3" t="b">
        <v>0</v>
      </c>
      <c r="C379" s="9"/>
      <c r="D379" s="2"/>
      <c r="E379" s="10"/>
      <c r="F379" s="8"/>
      <c r="G379" s="8"/>
      <c r="H379" s="4"/>
      <c r="I379" s="9" t="str">
        <f>IF(C379 = "Smile", H379 + 'Over View'!$B$3, IF(C379 = "Bianco" , H379 + 'Over View'!$B$4, IF(C379 = "Giallo" , H379 + 'Over View'!$B$5, IF(C379 = "Blu" , H379 + 'Over View'!$B$6, IF(C379 = "Verde" , H379 + 'Over View'!$B$7, IF(C379 = "Rosso" , H379 + 'Over View'!$B$8, "Grado Non Inserito") )))))</f>
        <v>Grado Non Inserito</v>
      </c>
      <c r="J379" s="4"/>
      <c r="K379" s="7"/>
      <c r="L379" s="2"/>
    </row>
    <row r="380">
      <c r="A380" s="3">
        <v>379.0</v>
      </c>
      <c r="B380" s="3" t="b">
        <v>0</v>
      </c>
      <c r="C380" s="9"/>
      <c r="D380" s="2"/>
      <c r="E380" s="10"/>
      <c r="F380" s="8"/>
      <c r="G380" s="8"/>
      <c r="H380" s="4"/>
      <c r="I380" s="9" t="str">
        <f>IF(C380 = "Smile", H380 + 'Over View'!$B$3, IF(C380 = "Bianco" , H380 + 'Over View'!$B$4, IF(C380 = "Giallo" , H380 + 'Over View'!$B$5, IF(C380 = "Blu" , H380 + 'Over View'!$B$6, IF(C380 = "Verde" , H380 + 'Over View'!$B$7, IF(C380 = "Rosso" , H380 + 'Over View'!$B$8, "Grado Non Inserito") )))))</f>
        <v>Grado Non Inserito</v>
      </c>
      <c r="J380" s="4"/>
      <c r="K380" s="7"/>
      <c r="L380" s="2"/>
    </row>
    <row r="381">
      <c r="A381" s="3">
        <v>380.0</v>
      </c>
      <c r="B381" s="3" t="b">
        <v>0</v>
      </c>
      <c r="C381" s="9"/>
      <c r="D381" s="2"/>
      <c r="E381" s="10"/>
      <c r="F381" s="8"/>
      <c r="G381" s="8"/>
      <c r="H381" s="4"/>
      <c r="I381" s="9" t="str">
        <f>IF(C381 = "Smile", H381 + 'Over View'!$B$3, IF(C381 = "Bianco" , H381 + 'Over View'!$B$4, IF(C381 = "Giallo" , H381 + 'Over View'!$B$5, IF(C381 = "Blu" , H381 + 'Over View'!$B$6, IF(C381 = "Verde" , H381 + 'Over View'!$B$7, IF(C381 = "Rosso" , H381 + 'Over View'!$B$8, "Grado Non Inserito") )))))</f>
        <v>Grado Non Inserito</v>
      </c>
      <c r="J381" s="4"/>
      <c r="K381" s="7"/>
      <c r="L381" s="2"/>
    </row>
    <row r="382">
      <c r="A382" s="3">
        <v>381.0</v>
      </c>
      <c r="B382" s="3" t="b">
        <v>0</v>
      </c>
      <c r="C382" s="9"/>
      <c r="D382" s="2"/>
      <c r="E382" s="10"/>
      <c r="F382" s="8"/>
      <c r="G382" s="8"/>
      <c r="H382" s="4"/>
      <c r="I382" s="9" t="str">
        <f>IF(C382 = "Smile", H382 + 'Over View'!$B$3, IF(C382 = "Bianco" , H382 + 'Over View'!$B$4, IF(C382 = "Giallo" , H382 + 'Over View'!$B$5, IF(C382 = "Blu" , H382 + 'Over View'!$B$6, IF(C382 = "Verde" , H382 + 'Over View'!$B$7, IF(C382 = "Rosso" , H382 + 'Over View'!$B$8, "Grado Non Inserito") )))))</f>
        <v>Grado Non Inserito</v>
      </c>
      <c r="J382" s="4"/>
      <c r="K382" s="7"/>
      <c r="L382" s="2"/>
    </row>
    <row r="383">
      <c r="A383" s="3">
        <v>382.0</v>
      </c>
      <c r="B383" s="3" t="b">
        <v>0</v>
      </c>
      <c r="C383" s="9"/>
      <c r="D383" s="2"/>
      <c r="E383" s="10"/>
      <c r="F383" s="8"/>
      <c r="G383" s="8"/>
      <c r="H383" s="4"/>
      <c r="I383" s="9" t="str">
        <f>IF(C383 = "Smile", H383 + 'Over View'!$B$3, IF(C383 = "Bianco" , H383 + 'Over View'!$B$4, IF(C383 = "Giallo" , H383 + 'Over View'!$B$5, IF(C383 = "Blu" , H383 + 'Over View'!$B$6, IF(C383 = "Verde" , H383 + 'Over View'!$B$7, IF(C383 = "Rosso" , H383 + 'Over View'!$B$8, "Grado Non Inserito") )))))</f>
        <v>Grado Non Inserito</v>
      </c>
      <c r="J383" s="4"/>
      <c r="K383" s="7"/>
      <c r="L383" s="2"/>
    </row>
    <row r="384">
      <c r="A384" s="3">
        <v>383.0</v>
      </c>
      <c r="B384" s="3" t="b">
        <v>0</v>
      </c>
      <c r="C384" s="9"/>
      <c r="D384" s="2"/>
      <c r="E384" s="10"/>
      <c r="F384" s="8"/>
      <c r="G384" s="8"/>
      <c r="H384" s="4"/>
      <c r="I384" s="9" t="str">
        <f>IF(C384 = "Smile", H384 + 'Over View'!$B$3, IF(C384 = "Bianco" , H384 + 'Over View'!$B$4, IF(C384 = "Giallo" , H384 + 'Over View'!$B$5, IF(C384 = "Blu" , H384 + 'Over View'!$B$6, IF(C384 = "Verde" , H384 + 'Over View'!$B$7, IF(C384 = "Rosso" , H384 + 'Over View'!$B$8, "Grado Non Inserito") )))))</f>
        <v>Grado Non Inserito</v>
      </c>
      <c r="J384" s="4"/>
      <c r="K384" s="7"/>
      <c r="L384" s="2"/>
    </row>
    <row r="385">
      <c r="A385" s="3">
        <v>384.0</v>
      </c>
      <c r="B385" s="3" t="b">
        <v>0</v>
      </c>
      <c r="C385" s="9"/>
      <c r="D385" s="2"/>
      <c r="E385" s="10"/>
      <c r="F385" s="8"/>
      <c r="G385" s="8"/>
      <c r="H385" s="4"/>
      <c r="I385" s="9" t="str">
        <f>IF(C385 = "Smile", H385 + 'Over View'!$B$3, IF(C385 = "Bianco" , H385 + 'Over View'!$B$4, IF(C385 = "Giallo" , H385 + 'Over View'!$B$5, IF(C385 = "Blu" , H385 + 'Over View'!$B$6, IF(C385 = "Verde" , H385 + 'Over View'!$B$7, IF(C385 = "Rosso" , H385 + 'Over View'!$B$8, "Grado Non Inserito") )))))</f>
        <v>Grado Non Inserito</v>
      </c>
      <c r="J385" s="4"/>
      <c r="K385" s="7"/>
      <c r="L385" s="2"/>
    </row>
    <row r="386">
      <c r="A386" s="3">
        <v>385.0</v>
      </c>
      <c r="B386" s="3" t="b">
        <v>0</v>
      </c>
      <c r="C386" s="9"/>
      <c r="D386" s="2"/>
      <c r="E386" s="10"/>
      <c r="F386" s="8"/>
      <c r="G386" s="8"/>
      <c r="H386" s="4"/>
      <c r="I386" s="9" t="str">
        <f>IF(C386 = "Smile", H386 + 'Over View'!$B$3, IF(C386 = "Bianco" , H386 + 'Over View'!$B$4, IF(C386 = "Giallo" , H386 + 'Over View'!$B$5, IF(C386 = "Blu" , H386 + 'Over View'!$B$6, IF(C386 = "Verde" , H386 + 'Over View'!$B$7, IF(C386 = "Rosso" , H386 + 'Over View'!$B$8, "Grado Non Inserito") )))))</f>
        <v>Grado Non Inserito</v>
      </c>
      <c r="J386" s="4"/>
      <c r="K386" s="7"/>
      <c r="L386" s="2"/>
    </row>
    <row r="387">
      <c r="A387" s="3">
        <v>386.0</v>
      </c>
      <c r="B387" s="3" t="b">
        <v>0</v>
      </c>
      <c r="C387" s="9"/>
      <c r="D387" s="2"/>
      <c r="E387" s="10"/>
      <c r="F387" s="8"/>
      <c r="G387" s="8"/>
      <c r="H387" s="4"/>
      <c r="I387" s="9" t="str">
        <f>IF(C387 = "Smile", H387 + 'Over View'!$B$3, IF(C387 = "Bianco" , H387 + 'Over View'!$B$4, IF(C387 = "Giallo" , H387 + 'Over View'!$B$5, IF(C387 = "Blu" , H387 + 'Over View'!$B$6, IF(C387 = "Verde" , H387 + 'Over View'!$B$7, IF(C387 = "Rosso" , H387 + 'Over View'!$B$8, "Grado Non Inserito") )))))</f>
        <v>Grado Non Inserito</v>
      </c>
      <c r="J387" s="4"/>
      <c r="K387" s="7"/>
      <c r="L387" s="2"/>
    </row>
    <row r="388">
      <c r="A388" s="3">
        <v>387.0</v>
      </c>
      <c r="B388" s="3" t="b">
        <v>0</v>
      </c>
      <c r="C388" s="9"/>
      <c r="D388" s="2"/>
      <c r="E388" s="10"/>
      <c r="F388" s="8"/>
      <c r="G388" s="8"/>
      <c r="H388" s="4"/>
      <c r="I388" s="9" t="str">
        <f>IF(C388 = "Smile", H388 + 'Over View'!$B$3, IF(C388 = "Bianco" , H388 + 'Over View'!$B$4, IF(C388 = "Giallo" , H388 + 'Over View'!$B$5, IF(C388 = "Blu" , H388 + 'Over View'!$B$6, IF(C388 = "Verde" , H388 + 'Over View'!$B$7, IF(C388 = "Rosso" , H388 + 'Over View'!$B$8, "Grado Non Inserito") )))))</f>
        <v>Grado Non Inserito</v>
      </c>
      <c r="J388" s="4"/>
      <c r="K388" s="7"/>
      <c r="L388" s="2"/>
    </row>
    <row r="389">
      <c r="A389" s="3">
        <v>388.0</v>
      </c>
      <c r="B389" s="3" t="b">
        <v>0</v>
      </c>
      <c r="C389" s="9"/>
      <c r="D389" s="2"/>
      <c r="E389" s="10"/>
      <c r="F389" s="8"/>
      <c r="G389" s="8"/>
      <c r="H389" s="4"/>
      <c r="I389" s="9" t="str">
        <f>IF(C389 = "Smile", H389 + 'Over View'!$B$3, IF(C389 = "Bianco" , H389 + 'Over View'!$B$4, IF(C389 = "Giallo" , H389 + 'Over View'!$B$5, IF(C389 = "Blu" , H389 + 'Over View'!$B$6, IF(C389 = "Verde" , H389 + 'Over View'!$B$7, IF(C389 = "Rosso" , H389 + 'Over View'!$B$8, "Grado Non Inserito") )))))</f>
        <v>Grado Non Inserito</v>
      </c>
      <c r="J389" s="4"/>
      <c r="K389" s="7"/>
      <c r="L389" s="2"/>
    </row>
    <row r="390">
      <c r="A390" s="3">
        <v>389.0</v>
      </c>
      <c r="B390" s="3" t="b">
        <v>0</v>
      </c>
      <c r="C390" s="9"/>
      <c r="D390" s="2"/>
      <c r="E390" s="10"/>
      <c r="F390" s="8"/>
      <c r="G390" s="8"/>
      <c r="H390" s="4"/>
      <c r="I390" s="9" t="str">
        <f>IF(C390 = "Smile", H390 + 'Over View'!$B$3, IF(C390 = "Bianco" , H390 + 'Over View'!$B$4, IF(C390 = "Giallo" , H390 + 'Over View'!$B$5, IF(C390 = "Blu" , H390 + 'Over View'!$B$6, IF(C390 = "Verde" , H390 + 'Over View'!$B$7, IF(C390 = "Rosso" , H390 + 'Over View'!$B$8, "Grado Non Inserito") )))))</f>
        <v>Grado Non Inserito</v>
      </c>
      <c r="J390" s="4"/>
      <c r="K390" s="7"/>
      <c r="L390" s="2"/>
    </row>
    <row r="391">
      <c r="A391" s="3">
        <v>390.0</v>
      </c>
      <c r="B391" s="3" t="b">
        <v>0</v>
      </c>
      <c r="C391" s="9"/>
      <c r="D391" s="2"/>
      <c r="E391" s="10"/>
      <c r="F391" s="8"/>
      <c r="G391" s="8"/>
      <c r="H391" s="4"/>
      <c r="I391" s="9" t="str">
        <f>IF(C391 = "Smile", H391 + 'Over View'!$B$3, IF(C391 = "Bianco" , H391 + 'Over View'!$B$4, IF(C391 = "Giallo" , H391 + 'Over View'!$B$5, IF(C391 = "Blu" , H391 + 'Over View'!$B$6, IF(C391 = "Verde" , H391 + 'Over View'!$B$7, IF(C391 = "Rosso" , H391 + 'Over View'!$B$8, "Grado Non Inserito") )))))</f>
        <v>Grado Non Inserito</v>
      </c>
      <c r="J391" s="4"/>
      <c r="K391" s="7"/>
      <c r="L391" s="2"/>
    </row>
    <row r="392">
      <c r="A392" s="3">
        <v>391.0</v>
      </c>
      <c r="B392" s="3" t="b">
        <v>0</v>
      </c>
      <c r="C392" s="9"/>
      <c r="D392" s="2"/>
      <c r="E392" s="10"/>
      <c r="F392" s="8"/>
      <c r="G392" s="8"/>
      <c r="H392" s="4"/>
      <c r="I392" s="9" t="str">
        <f>IF(C392 = "Smile", H392 + 'Over View'!$B$3, IF(C392 = "Bianco" , H392 + 'Over View'!$B$4, IF(C392 = "Giallo" , H392 + 'Over View'!$B$5, IF(C392 = "Blu" , H392 + 'Over View'!$B$6, IF(C392 = "Verde" , H392 + 'Over View'!$B$7, IF(C392 = "Rosso" , H392 + 'Over View'!$B$8, "Grado Non Inserito") )))))</f>
        <v>Grado Non Inserito</v>
      </c>
      <c r="J392" s="4"/>
      <c r="K392" s="7"/>
      <c r="L392" s="2"/>
    </row>
    <row r="393">
      <c r="A393" s="3">
        <v>392.0</v>
      </c>
      <c r="B393" s="3" t="b">
        <v>0</v>
      </c>
      <c r="C393" s="9"/>
      <c r="D393" s="2"/>
      <c r="E393" s="10"/>
      <c r="F393" s="8"/>
      <c r="G393" s="8"/>
      <c r="H393" s="4"/>
      <c r="I393" s="9" t="str">
        <f>IF(C393 = "Smile", H393 + 'Over View'!$B$3, IF(C393 = "Bianco" , H393 + 'Over View'!$B$4, IF(C393 = "Giallo" , H393 + 'Over View'!$B$5, IF(C393 = "Blu" , H393 + 'Over View'!$B$6, IF(C393 = "Verde" , H393 + 'Over View'!$B$7, IF(C393 = "Rosso" , H393 + 'Over View'!$B$8, "Grado Non Inserito") )))))</f>
        <v>Grado Non Inserito</v>
      </c>
      <c r="J393" s="4"/>
      <c r="K393" s="7"/>
      <c r="L393" s="2"/>
    </row>
    <row r="394">
      <c r="A394" s="3">
        <v>393.0</v>
      </c>
      <c r="B394" s="3" t="b">
        <v>0</v>
      </c>
      <c r="C394" s="9"/>
      <c r="D394" s="2"/>
      <c r="E394" s="10"/>
      <c r="F394" s="8"/>
      <c r="G394" s="8"/>
      <c r="H394" s="4"/>
      <c r="I394" s="9" t="str">
        <f>IF(C394 = "Smile", H394 + 'Over View'!$B$3, IF(C394 = "Bianco" , H394 + 'Over View'!$B$4, IF(C394 = "Giallo" , H394 + 'Over View'!$B$5, IF(C394 = "Blu" , H394 + 'Over View'!$B$6, IF(C394 = "Verde" , H394 + 'Over View'!$B$7, IF(C394 = "Rosso" , H394 + 'Over View'!$B$8, "Grado Non Inserito") )))))</f>
        <v>Grado Non Inserito</v>
      </c>
      <c r="J394" s="4"/>
      <c r="K394" s="7"/>
      <c r="L394" s="2"/>
    </row>
    <row r="395">
      <c r="A395" s="3">
        <v>394.0</v>
      </c>
      <c r="B395" s="3" t="b">
        <v>0</v>
      </c>
      <c r="C395" s="9"/>
      <c r="D395" s="2"/>
      <c r="E395" s="10"/>
      <c r="F395" s="8"/>
      <c r="G395" s="8"/>
      <c r="H395" s="4"/>
      <c r="I395" s="9" t="str">
        <f>IF(C395 = "Smile", H395 + 'Over View'!$B$3, IF(C395 = "Bianco" , H395 + 'Over View'!$B$4, IF(C395 = "Giallo" , H395 + 'Over View'!$B$5, IF(C395 = "Blu" , H395 + 'Over View'!$B$6, IF(C395 = "Verde" , H395 + 'Over View'!$B$7, IF(C395 = "Rosso" , H395 + 'Over View'!$B$8, "Grado Non Inserito") )))))</f>
        <v>Grado Non Inserito</v>
      </c>
      <c r="J395" s="4"/>
      <c r="K395" s="7"/>
      <c r="L395" s="2"/>
    </row>
    <row r="396">
      <c r="A396" s="3">
        <v>395.0</v>
      </c>
      <c r="B396" s="3" t="b">
        <v>0</v>
      </c>
      <c r="C396" s="9"/>
      <c r="D396" s="2"/>
      <c r="E396" s="10"/>
      <c r="F396" s="8"/>
      <c r="G396" s="8"/>
      <c r="H396" s="4"/>
      <c r="I396" s="9" t="str">
        <f>IF(C396 = "Smile", H396 + 'Over View'!$B$3, IF(C396 = "Bianco" , H396 + 'Over View'!$B$4, IF(C396 = "Giallo" , H396 + 'Over View'!$B$5, IF(C396 = "Blu" , H396 + 'Over View'!$B$6, IF(C396 = "Verde" , H396 + 'Over View'!$B$7, IF(C396 = "Rosso" , H396 + 'Over View'!$B$8, "Grado Non Inserito") )))))</f>
        <v>Grado Non Inserito</v>
      </c>
      <c r="J396" s="4"/>
      <c r="K396" s="7"/>
      <c r="L396" s="2"/>
    </row>
    <row r="397">
      <c r="A397" s="3">
        <v>396.0</v>
      </c>
      <c r="B397" s="3" t="b">
        <v>0</v>
      </c>
      <c r="C397" s="9"/>
      <c r="D397" s="2"/>
      <c r="E397" s="10"/>
      <c r="F397" s="8"/>
      <c r="G397" s="8"/>
      <c r="H397" s="4"/>
      <c r="I397" s="9" t="str">
        <f>IF(C397 = "Smile", H397 + 'Over View'!$B$3, IF(C397 = "Bianco" , H397 + 'Over View'!$B$4, IF(C397 = "Giallo" , H397 + 'Over View'!$B$5, IF(C397 = "Blu" , H397 + 'Over View'!$B$6, IF(C397 = "Verde" , H397 + 'Over View'!$B$7, IF(C397 = "Rosso" , H397 + 'Over View'!$B$8, "Grado Non Inserito") )))))</f>
        <v>Grado Non Inserito</v>
      </c>
      <c r="J397" s="4"/>
      <c r="K397" s="7"/>
      <c r="L397" s="2"/>
    </row>
    <row r="398">
      <c r="A398" s="3">
        <v>397.0</v>
      </c>
      <c r="B398" s="3" t="b">
        <v>0</v>
      </c>
      <c r="C398" s="9"/>
      <c r="D398" s="2"/>
      <c r="E398" s="10"/>
      <c r="F398" s="8"/>
      <c r="G398" s="8"/>
      <c r="H398" s="4"/>
      <c r="I398" s="9" t="str">
        <f>IF(C398 = "Smile", H398 + 'Over View'!$B$3, IF(C398 = "Bianco" , H398 + 'Over View'!$B$4, IF(C398 = "Giallo" , H398 + 'Over View'!$B$5, IF(C398 = "Blu" , H398 + 'Over View'!$B$6, IF(C398 = "Verde" , H398 + 'Over View'!$B$7, IF(C398 = "Rosso" , H398 + 'Over View'!$B$8, "Grado Non Inserito") )))))</f>
        <v>Grado Non Inserito</v>
      </c>
      <c r="J398" s="4"/>
      <c r="K398" s="7"/>
      <c r="L398" s="2"/>
    </row>
    <row r="399">
      <c r="A399" s="3">
        <v>398.0</v>
      </c>
      <c r="B399" s="3" t="b">
        <v>0</v>
      </c>
      <c r="C399" s="9"/>
      <c r="D399" s="2"/>
      <c r="E399" s="10"/>
      <c r="F399" s="8"/>
      <c r="G399" s="8"/>
      <c r="H399" s="4"/>
      <c r="I399" s="9" t="str">
        <f>IF(C399 = "Smile", H399 + 'Over View'!$B$3, IF(C399 = "Bianco" , H399 + 'Over View'!$B$4, IF(C399 = "Giallo" , H399 + 'Over View'!$B$5, IF(C399 = "Blu" , H399 + 'Over View'!$B$6, IF(C399 = "Verde" , H399 + 'Over View'!$B$7, IF(C399 = "Rosso" , H399 + 'Over View'!$B$8, "Grado Non Inserito") )))))</f>
        <v>Grado Non Inserito</v>
      </c>
      <c r="J399" s="4"/>
      <c r="K399" s="7"/>
      <c r="L399" s="2"/>
    </row>
    <row r="400">
      <c r="A400" s="3">
        <v>399.0</v>
      </c>
      <c r="B400" s="3" t="b">
        <v>0</v>
      </c>
      <c r="C400" s="9"/>
      <c r="D400" s="2"/>
      <c r="E400" s="10"/>
      <c r="F400" s="8"/>
      <c r="G400" s="8"/>
      <c r="H400" s="4"/>
      <c r="I400" s="9" t="str">
        <f>IF(C400 = "Smile", H400 + 'Over View'!$B$3, IF(C400 = "Bianco" , H400 + 'Over View'!$B$4, IF(C400 = "Giallo" , H400 + 'Over View'!$B$5, IF(C400 = "Blu" , H400 + 'Over View'!$B$6, IF(C400 = "Verde" , H400 + 'Over View'!$B$7, IF(C400 = "Rosso" , H400 + 'Over View'!$B$8, "Grado Non Inserito") )))))</f>
        <v>Grado Non Inserito</v>
      </c>
      <c r="J400" s="4"/>
      <c r="K400" s="7"/>
      <c r="L400" s="2"/>
    </row>
    <row r="401">
      <c r="A401" s="3">
        <v>400.0</v>
      </c>
      <c r="B401" s="3" t="b">
        <v>0</v>
      </c>
      <c r="C401" s="9"/>
      <c r="D401" s="2"/>
      <c r="E401" s="10"/>
      <c r="F401" s="8"/>
      <c r="G401" s="8"/>
      <c r="H401" s="4"/>
      <c r="I401" s="9" t="str">
        <f>IF(C401 = "Smile", H401 + 'Over View'!$B$3, IF(C401 = "Bianco" , H401 + 'Over View'!$B$4, IF(C401 = "Giallo" , H401 + 'Over View'!$B$5, IF(C401 = "Blu" , H401 + 'Over View'!$B$6, IF(C401 = "Verde" , H401 + 'Over View'!$B$7, IF(C401 = "Rosso" , H401 + 'Over View'!$B$8, "Grado Non Inserito") )))))</f>
        <v>Grado Non Inserito</v>
      </c>
      <c r="J401" s="4"/>
      <c r="K401" s="7"/>
      <c r="L401" s="2"/>
    </row>
    <row r="402">
      <c r="A402" s="3">
        <v>401.0</v>
      </c>
      <c r="B402" s="3" t="b">
        <v>0</v>
      </c>
      <c r="C402" s="9"/>
      <c r="D402" s="2"/>
      <c r="E402" s="10"/>
      <c r="F402" s="8"/>
      <c r="G402" s="8"/>
      <c r="H402" s="4"/>
      <c r="I402" s="9" t="str">
        <f>IF(C402 = "Smile", H402 + 'Over View'!$B$3, IF(C402 = "Bianco" , H402 + 'Over View'!$B$4, IF(C402 = "Giallo" , H402 + 'Over View'!$B$5, IF(C402 = "Blu" , H402 + 'Over View'!$B$6, IF(C402 = "Verde" , H402 + 'Over View'!$B$7, IF(C402 = "Rosso" , H402 + 'Over View'!$B$8, "Grado Non Inserito") )))))</f>
        <v>Grado Non Inserito</v>
      </c>
      <c r="J402" s="4"/>
      <c r="K402" s="7"/>
      <c r="L402" s="2"/>
    </row>
    <row r="403">
      <c r="A403" s="3">
        <v>402.0</v>
      </c>
      <c r="B403" s="3" t="b">
        <v>0</v>
      </c>
      <c r="C403" s="9"/>
      <c r="D403" s="2"/>
      <c r="E403" s="10"/>
      <c r="F403" s="8"/>
      <c r="G403" s="8"/>
      <c r="H403" s="4"/>
      <c r="I403" s="9" t="str">
        <f>IF(C403 = "Smile", H403 + 'Over View'!$B$3, IF(C403 = "Bianco" , H403 + 'Over View'!$B$4, IF(C403 = "Giallo" , H403 + 'Over View'!$B$5, IF(C403 = "Blu" , H403 + 'Over View'!$B$6, IF(C403 = "Verde" , H403 + 'Over View'!$B$7, IF(C403 = "Rosso" , H403 + 'Over View'!$B$8, "Grado Non Inserito") )))))</f>
        <v>Grado Non Inserito</v>
      </c>
      <c r="J403" s="4"/>
      <c r="K403" s="7"/>
      <c r="L403" s="2"/>
    </row>
    <row r="404">
      <c r="A404" s="3">
        <v>403.0</v>
      </c>
      <c r="B404" s="3" t="b">
        <v>0</v>
      </c>
      <c r="C404" s="9"/>
      <c r="D404" s="2"/>
      <c r="E404" s="10"/>
      <c r="F404" s="8"/>
      <c r="G404" s="8"/>
      <c r="H404" s="4"/>
      <c r="I404" s="9" t="str">
        <f>IF(C404 = "Smile", H404 + 'Over View'!$B$3, IF(C404 = "Bianco" , H404 + 'Over View'!$B$4, IF(C404 = "Giallo" , H404 + 'Over View'!$B$5, IF(C404 = "Blu" , H404 + 'Over View'!$B$6, IF(C404 = "Verde" , H404 + 'Over View'!$B$7, IF(C404 = "Rosso" , H404 + 'Over View'!$B$8, "Grado Non Inserito") )))))</f>
        <v>Grado Non Inserito</v>
      </c>
      <c r="J404" s="4"/>
      <c r="K404" s="7"/>
      <c r="L404" s="2"/>
    </row>
    <row r="405">
      <c r="A405" s="3">
        <v>404.0</v>
      </c>
      <c r="B405" s="3" t="b">
        <v>0</v>
      </c>
      <c r="C405" s="9"/>
      <c r="D405" s="2"/>
      <c r="E405" s="10"/>
      <c r="F405" s="8"/>
      <c r="G405" s="8"/>
      <c r="H405" s="4"/>
      <c r="I405" s="9" t="str">
        <f>IF(C405 = "Smile", H405 + 'Over View'!$B$3, IF(C405 = "Bianco" , H405 + 'Over View'!$B$4, IF(C405 = "Giallo" , H405 + 'Over View'!$B$5, IF(C405 = "Blu" , H405 + 'Over View'!$B$6, IF(C405 = "Verde" , H405 + 'Over View'!$B$7, IF(C405 = "Rosso" , H405 + 'Over View'!$B$8, "Grado Non Inserito") )))))</f>
        <v>Grado Non Inserito</v>
      </c>
      <c r="J405" s="4"/>
      <c r="K405" s="7"/>
      <c r="L405" s="2"/>
    </row>
    <row r="406">
      <c r="A406" s="3">
        <v>405.0</v>
      </c>
      <c r="B406" s="3" t="b">
        <v>0</v>
      </c>
      <c r="C406" s="9"/>
      <c r="D406" s="2"/>
      <c r="E406" s="10"/>
      <c r="F406" s="8"/>
      <c r="G406" s="8"/>
      <c r="H406" s="4"/>
      <c r="I406" s="9" t="str">
        <f>IF(C406 = "Smile", H406 + 'Over View'!$B$3, IF(C406 = "Bianco" , H406 + 'Over View'!$B$4, IF(C406 = "Giallo" , H406 + 'Over View'!$B$5, IF(C406 = "Blu" , H406 + 'Over View'!$B$6, IF(C406 = "Verde" , H406 + 'Over View'!$B$7, IF(C406 = "Rosso" , H406 + 'Over View'!$B$8, "Grado Non Inserito") )))))</f>
        <v>Grado Non Inserito</v>
      </c>
      <c r="J406" s="4"/>
      <c r="K406" s="7"/>
      <c r="L406" s="2"/>
    </row>
    <row r="407">
      <c r="A407" s="3">
        <v>406.0</v>
      </c>
      <c r="B407" s="3" t="b">
        <v>0</v>
      </c>
      <c r="C407" s="9"/>
      <c r="D407" s="2"/>
      <c r="E407" s="10"/>
      <c r="F407" s="8"/>
      <c r="G407" s="8"/>
      <c r="H407" s="4"/>
      <c r="I407" s="9" t="str">
        <f>IF(C407 = "Smile", H407 + 'Over View'!$B$3, IF(C407 = "Bianco" , H407 + 'Over View'!$B$4, IF(C407 = "Giallo" , H407 + 'Over View'!$B$5, IF(C407 = "Blu" , H407 + 'Over View'!$B$6, IF(C407 = "Verde" , H407 + 'Over View'!$B$7, IF(C407 = "Rosso" , H407 + 'Over View'!$B$8, "Grado Non Inserito") )))))</f>
        <v>Grado Non Inserito</v>
      </c>
      <c r="J407" s="4"/>
      <c r="K407" s="7"/>
      <c r="L407" s="2"/>
    </row>
    <row r="408">
      <c r="A408" s="3">
        <v>407.0</v>
      </c>
      <c r="B408" s="3" t="b">
        <v>0</v>
      </c>
      <c r="C408" s="9"/>
      <c r="D408" s="2"/>
      <c r="E408" s="10"/>
      <c r="F408" s="8"/>
      <c r="G408" s="8"/>
      <c r="H408" s="4"/>
      <c r="I408" s="9" t="str">
        <f>IF(C408 = "Smile", H408 + 'Over View'!$B$3, IF(C408 = "Bianco" , H408 + 'Over View'!$B$4, IF(C408 = "Giallo" , H408 + 'Over View'!$B$5, IF(C408 = "Blu" , H408 + 'Over View'!$B$6, IF(C408 = "Verde" , H408 + 'Over View'!$B$7, IF(C408 = "Rosso" , H408 + 'Over View'!$B$8, "Grado Non Inserito") )))))</f>
        <v>Grado Non Inserito</v>
      </c>
      <c r="J408" s="4"/>
      <c r="K408" s="7"/>
      <c r="L408" s="2"/>
    </row>
    <row r="409">
      <c r="A409" s="3">
        <v>408.0</v>
      </c>
      <c r="B409" s="3" t="b">
        <v>0</v>
      </c>
      <c r="C409" s="9"/>
      <c r="D409" s="2"/>
      <c r="E409" s="10"/>
      <c r="F409" s="8"/>
      <c r="G409" s="8"/>
      <c r="H409" s="4"/>
      <c r="I409" s="9" t="str">
        <f>IF(C409 = "Smile", H409 + 'Over View'!$B$3, IF(C409 = "Bianco" , H409 + 'Over View'!$B$4, IF(C409 = "Giallo" , H409 + 'Over View'!$B$5, IF(C409 = "Blu" , H409 + 'Over View'!$B$6, IF(C409 = "Verde" , H409 + 'Over View'!$B$7, IF(C409 = "Rosso" , H409 + 'Over View'!$B$8, "Grado Non Inserito") )))))</f>
        <v>Grado Non Inserito</v>
      </c>
      <c r="J409" s="4"/>
      <c r="K409" s="7"/>
      <c r="L409" s="2"/>
    </row>
    <row r="410">
      <c r="A410" s="3">
        <v>409.0</v>
      </c>
      <c r="B410" s="3" t="b">
        <v>0</v>
      </c>
      <c r="C410" s="9"/>
      <c r="D410" s="2"/>
      <c r="E410" s="10"/>
      <c r="F410" s="8"/>
      <c r="G410" s="8"/>
      <c r="H410" s="4"/>
      <c r="I410" s="9" t="str">
        <f>IF(C410 = "Smile", H410 + 'Over View'!$B$3, IF(C410 = "Bianco" , H410 + 'Over View'!$B$4, IF(C410 = "Giallo" , H410 + 'Over View'!$B$5, IF(C410 = "Blu" , H410 + 'Over View'!$B$6, IF(C410 = "Verde" , H410 + 'Over View'!$B$7, IF(C410 = "Rosso" , H410 + 'Over View'!$B$8, "Grado Non Inserito") )))))</f>
        <v>Grado Non Inserito</v>
      </c>
      <c r="J410" s="4"/>
      <c r="K410" s="7"/>
      <c r="L410" s="2"/>
    </row>
    <row r="411">
      <c r="A411" s="3">
        <v>410.0</v>
      </c>
      <c r="B411" s="3" t="b">
        <v>0</v>
      </c>
      <c r="C411" s="9"/>
      <c r="D411" s="2"/>
      <c r="E411" s="10"/>
      <c r="F411" s="8"/>
      <c r="G411" s="8"/>
      <c r="H411" s="4"/>
      <c r="I411" s="9" t="str">
        <f>IF(C411 = "Smile", H411 + 'Over View'!$B$3, IF(C411 = "Bianco" , H411 + 'Over View'!$B$4, IF(C411 = "Giallo" , H411 + 'Over View'!$B$5, IF(C411 = "Blu" , H411 + 'Over View'!$B$6, IF(C411 = "Verde" , H411 + 'Over View'!$B$7, IF(C411 = "Rosso" , H411 + 'Over View'!$B$8, "Grado Non Inserito") )))))</f>
        <v>Grado Non Inserito</v>
      </c>
      <c r="J411" s="4"/>
      <c r="K411" s="7"/>
      <c r="L411" s="2"/>
    </row>
    <row r="412">
      <c r="A412" s="3">
        <v>411.0</v>
      </c>
      <c r="B412" s="3" t="b">
        <v>0</v>
      </c>
      <c r="C412" s="9"/>
      <c r="D412" s="2"/>
      <c r="E412" s="10"/>
      <c r="F412" s="8"/>
      <c r="G412" s="8"/>
      <c r="H412" s="4"/>
      <c r="I412" s="9" t="str">
        <f>IF(C412 = "Smile", H412 + 'Over View'!$B$3, IF(C412 = "Bianco" , H412 + 'Over View'!$B$4, IF(C412 = "Giallo" , H412 + 'Over View'!$B$5, IF(C412 = "Blu" , H412 + 'Over View'!$B$6, IF(C412 = "Verde" , H412 + 'Over View'!$B$7, IF(C412 = "Rosso" , H412 + 'Over View'!$B$8, "Grado Non Inserito") )))))</f>
        <v>Grado Non Inserito</v>
      </c>
      <c r="J412" s="4"/>
      <c r="K412" s="7"/>
      <c r="L412" s="2"/>
    </row>
    <row r="413">
      <c r="A413" s="3">
        <v>412.0</v>
      </c>
      <c r="B413" s="3" t="b">
        <v>0</v>
      </c>
      <c r="C413" s="9"/>
      <c r="D413" s="2"/>
      <c r="E413" s="10"/>
      <c r="F413" s="8"/>
      <c r="G413" s="8"/>
      <c r="H413" s="4"/>
      <c r="I413" s="9" t="str">
        <f>IF(C413 = "Smile", H413 + 'Over View'!$B$3, IF(C413 = "Bianco" , H413 + 'Over View'!$B$4, IF(C413 = "Giallo" , H413 + 'Over View'!$B$5, IF(C413 = "Blu" , H413 + 'Over View'!$B$6, IF(C413 = "Verde" , H413 + 'Over View'!$B$7, IF(C413 = "Rosso" , H413 + 'Over View'!$B$8, "Grado Non Inserito") )))))</f>
        <v>Grado Non Inserito</v>
      </c>
      <c r="J413" s="4"/>
      <c r="K413" s="7"/>
      <c r="L413" s="2"/>
    </row>
    <row r="414">
      <c r="A414" s="3">
        <v>413.0</v>
      </c>
      <c r="B414" s="3" t="b">
        <v>0</v>
      </c>
      <c r="C414" s="9"/>
      <c r="D414" s="2"/>
      <c r="E414" s="10"/>
      <c r="F414" s="8"/>
      <c r="G414" s="8"/>
      <c r="H414" s="4"/>
      <c r="I414" s="9" t="str">
        <f>IF(C414 = "Smile", H414 + 'Over View'!$B$3, IF(C414 = "Bianco" , H414 + 'Over View'!$B$4, IF(C414 = "Giallo" , H414 + 'Over View'!$B$5, IF(C414 = "Blu" , H414 + 'Over View'!$B$6, IF(C414 = "Verde" , H414 + 'Over View'!$B$7, IF(C414 = "Rosso" , H414 + 'Over View'!$B$8, "Grado Non Inserito") )))))</f>
        <v>Grado Non Inserito</v>
      </c>
      <c r="J414" s="4"/>
      <c r="K414" s="7"/>
      <c r="L414" s="2"/>
    </row>
    <row r="415">
      <c r="A415" s="3">
        <v>414.0</v>
      </c>
      <c r="B415" s="3" t="b">
        <v>0</v>
      </c>
      <c r="C415" s="9"/>
      <c r="D415" s="2"/>
      <c r="E415" s="10"/>
      <c r="F415" s="8"/>
      <c r="G415" s="8"/>
      <c r="H415" s="4"/>
      <c r="I415" s="9" t="str">
        <f>IF(C415 = "Smile", H415 + 'Over View'!$B$3, IF(C415 = "Bianco" , H415 + 'Over View'!$B$4, IF(C415 = "Giallo" , H415 + 'Over View'!$B$5, IF(C415 = "Blu" , H415 + 'Over View'!$B$6, IF(C415 = "Verde" , H415 + 'Over View'!$B$7, IF(C415 = "Rosso" , H415 + 'Over View'!$B$8, "Grado Non Inserito") )))))</f>
        <v>Grado Non Inserito</v>
      </c>
      <c r="J415" s="4"/>
      <c r="K415" s="7"/>
      <c r="L415" s="2"/>
    </row>
    <row r="416">
      <c r="A416" s="3">
        <v>415.0</v>
      </c>
      <c r="B416" s="3" t="b">
        <v>0</v>
      </c>
      <c r="C416" s="9"/>
      <c r="D416" s="2"/>
      <c r="E416" s="10"/>
      <c r="F416" s="8"/>
      <c r="G416" s="8"/>
      <c r="H416" s="4"/>
      <c r="I416" s="9" t="str">
        <f>IF(C416 = "Smile", H416 + 'Over View'!$B$3, IF(C416 = "Bianco" , H416 + 'Over View'!$B$4, IF(C416 = "Giallo" , H416 + 'Over View'!$B$5, IF(C416 = "Blu" , H416 + 'Over View'!$B$6, IF(C416 = "Verde" , H416 + 'Over View'!$B$7, IF(C416 = "Rosso" , H416 + 'Over View'!$B$8, "Grado Non Inserito") )))))</f>
        <v>Grado Non Inserito</v>
      </c>
      <c r="J416" s="4"/>
      <c r="K416" s="7"/>
      <c r="L416" s="2"/>
    </row>
    <row r="417">
      <c r="A417" s="3">
        <v>416.0</v>
      </c>
      <c r="B417" s="3" t="b">
        <v>0</v>
      </c>
      <c r="C417" s="9"/>
      <c r="D417" s="2"/>
      <c r="E417" s="10"/>
      <c r="F417" s="8"/>
      <c r="G417" s="8"/>
      <c r="H417" s="4"/>
      <c r="I417" s="9" t="str">
        <f>IF(C417 = "Smile", H417 + 'Over View'!$B$3, IF(C417 = "Bianco" , H417 + 'Over View'!$B$4, IF(C417 = "Giallo" , H417 + 'Over View'!$B$5, IF(C417 = "Blu" , H417 + 'Over View'!$B$6, IF(C417 = "Verde" , H417 + 'Over View'!$B$7, IF(C417 = "Rosso" , H417 + 'Over View'!$B$8, "Grado Non Inserito") )))))</f>
        <v>Grado Non Inserito</v>
      </c>
      <c r="J417" s="4"/>
      <c r="K417" s="7"/>
      <c r="L417" s="2"/>
    </row>
    <row r="418">
      <c r="A418" s="3">
        <v>417.0</v>
      </c>
      <c r="B418" s="3" t="b">
        <v>0</v>
      </c>
      <c r="C418" s="9"/>
      <c r="D418" s="2"/>
      <c r="E418" s="10"/>
      <c r="F418" s="8"/>
      <c r="G418" s="8"/>
      <c r="H418" s="4"/>
      <c r="I418" s="9" t="str">
        <f>IF(C418 = "Smile", H418 + 'Over View'!$B$3, IF(C418 = "Bianco" , H418 + 'Over View'!$B$4, IF(C418 = "Giallo" , H418 + 'Over View'!$B$5, IF(C418 = "Blu" , H418 + 'Over View'!$B$6, IF(C418 = "Verde" , H418 + 'Over View'!$B$7, IF(C418 = "Rosso" , H418 + 'Over View'!$B$8, "Grado Non Inserito") )))))</f>
        <v>Grado Non Inserito</v>
      </c>
      <c r="J418" s="4"/>
      <c r="K418" s="7"/>
      <c r="L418" s="2"/>
    </row>
    <row r="419">
      <c r="A419" s="3">
        <v>418.0</v>
      </c>
      <c r="B419" s="3" t="b">
        <v>0</v>
      </c>
      <c r="C419" s="9"/>
      <c r="D419" s="2"/>
      <c r="E419" s="10"/>
      <c r="F419" s="8"/>
      <c r="G419" s="8"/>
      <c r="H419" s="4"/>
      <c r="I419" s="9" t="str">
        <f>IF(C419 = "Smile", H419 + 'Over View'!$B$3, IF(C419 = "Bianco" , H419 + 'Over View'!$B$4, IF(C419 = "Giallo" , H419 + 'Over View'!$B$5, IF(C419 = "Blu" , H419 + 'Over View'!$B$6, IF(C419 = "Verde" , H419 + 'Over View'!$B$7, IF(C419 = "Rosso" , H419 + 'Over View'!$B$8, "Grado Non Inserito") )))))</f>
        <v>Grado Non Inserito</v>
      </c>
      <c r="J419" s="4"/>
      <c r="K419" s="7"/>
      <c r="L419" s="2"/>
    </row>
    <row r="420">
      <c r="A420" s="3">
        <v>419.0</v>
      </c>
      <c r="B420" s="3" t="b">
        <v>0</v>
      </c>
      <c r="C420" s="9"/>
      <c r="D420" s="2"/>
      <c r="E420" s="10"/>
      <c r="F420" s="8"/>
      <c r="G420" s="8"/>
      <c r="H420" s="4"/>
      <c r="I420" s="9" t="str">
        <f>IF(C420 = "Smile", H420 + 'Over View'!$B$3, IF(C420 = "Bianco" , H420 + 'Over View'!$B$4, IF(C420 = "Giallo" , H420 + 'Over View'!$B$5, IF(C420 = "Blu" , H420 + 'Over View'!$B$6, IF(C420 = "Verde" , H420 + 'Over View'!$B$7, IF(C420 = "Rosso" , H420 + 'Over View'!$B$8, "Grado Non Inserito") )))))</f>
        <v>Grado Non Inserito</v>
      </c>
      <c r="J420" s="4"/>
      <c r="K420" s="7"/>
      <c r="L420" s="2"/>
    </row>
    <row r="421">
      <c r="A421" s="3">
        <v>420.0</v>
      </c>
      <c r="B421" s="3" t="b">
        <v>0</v>
      </c>
      <c r="C421" s="9"/>
      <c r="D421" s="2"/>
      <c r="E421" s="10"/>
      <c r="F421" s="8"/>
      <c r="G421" s="8"/>
      <c r="H421" s="4"/>
      <c r="I421" s="9" t="str">
        <f>IF(C421 = "Smile", H421 + 'Over View'!$B$3, IF(C421 = "Bianco" , H421 + 'Over View'!$B$4, IF(C421 = "Giallo" , H421 + 'Over View'!$B$5, IF(C421 = "Blu" , H421 + 'Over View'!$B$6, IF(C421 = "Verde" , H421 + 'Over View'!$B$7, IF(C421 = "Rosso" , H421 + 'Over View'!$B$8, "Grado Non Inserito") )))))</f>
        <v>Grado Non Inserito</v>
      </c>
      <c r="J421" s="4"/>
      <c r="K421" s="7"/>
      <c r="L421" s="2"/>
    </row>
    <row r="422">
      <c r="A422" s="3">
        <v>421.0</v>
      </c>
      <c r="B422" s="3" t="b">
        <v>0</v>
      </c>
      <c r="C422" s="9"/>
      <c r="D422" s="2"/>
      <c r="E422" s="10"/>
      <c r="F422" s="8"/>
      <c r="G422" s="8"/>
      <c r="H422" s="4"/>
      <c r="I422" s="9" t="str">
        <f>IF(C422 = "Smile", H422 + 'Over View'!$B$3, IF(C422 = "Bianco" , H422 + 'Over View'!$B$4, IF(C422 = "Giallo" , H422 + 'Over View'!$B$5, IF(C422 = "Blu" , H422 + 'Over View'!$B$6, IF(C422 = "Verde" , H422 + 'Over View'!$B$7, IF(C422 = "Rosso" , H422 + 'Over View'!$B$8, "Grado Non Inserito") )))))</f>
        <v>Grado Non Inserito</v>
      </c>
      <c r="J422" s="4"/>
      <c r="K422" s="7"/>
      <c r="L422" s="2"/>
    </row>
    <row r="423">
      <c r="A423" s="3">
        <v>422.0</v>
      </c>
      <c r="B423" s="3" t="b">
        <v>0</v>
      </c>
      <c r="C423" s="9"/>
      <c r="D423" s="2"/>
      <c r="E423" s="10"/>
      <c r="F423" s="8"/>
      <c r="G423" s="8"/>
      <c r="H423" s="4"/>
      <c r="I423" s="9" t="str">
        <f>IF(C423 = "Smile", H423 + 'Over View'!$B$3, IF(C423 = "Bianco" , H423 + 'Over View'!$B$4, IF(C423 = "Giallo" , H423 + 'Over View'!$B$5, IF(C423 = "Blu" , H423 + 'Over View'!$B$6, IF(C423 = "Verde" , H423 + 'Over View'!$B$7, IF(C423 = "Rosso" , H423 + 'Over View'!$B$8, "Grado Non Inserito") )))))</f>
        <v>Grado Non Inserito</v>
      </c>
      <c r="J423" s="4"/>
      <c r="K423" s="7"/>
      <c r="L423" s="2"/>
    </row>
    <row r="424">
      <c r="A424" s="3">
        <v>423.0</v>
      </c>
      <c r="B424" s="3" t="b">
        <v>0</v>
      </c>
      <c r="C424" s="9"/>
      <c r="D424" s="2"/>
      <c r="E424" s="10"/>
      <c r="F424" s="8"/>
      <c r="G424" s="8"/>
      <c r="H424" s="4"/>
      <c r="I424" s="9" t="str">
        <f>IF(C424 = "Smile", H424 + 'Over View'!$B$3, IF(C424 = "Bianco" , H424 + 'Over View'!$B$4, IF(C424 = "Giallo" , H424 + 'Over View'!$B$5, IF(C424 = "Blu" , H424 + 'Over View'!$B$6, IF(C424 = "Verde" , H424 + 'Over View'!$B$7, IF(C424 = "Rosso" , H424 + 'Over View'!$B$8, "Grado Non Inserito") )))))</f>
        <v>Grado Non Inserito</v>
      </c>
      <c r="J424" s="4"/>
      <c r="K424" s="7"/>
      <c r="L424" s="2"/>
    </row>
    <row r="425">
      <c r="A425" s="3">
        <v>424.0</v>
      </c>
      <c r="B425" s="3" t="b">
        <v>0</v>
      </c>
      <c r="C425" s="9"/>
      <c r="D425" s="2"/>
      <c r="E425" s="10"/>
      <c r="F425" s="8"/>
      <c r="G425" s="8"/>
      <c r="H425" s="4"/>
      <c r="I425" s="9" t="str">
        <f>IF(C425 = "Smile", H425 + 'Over View'!$B$3, IF(C425 = "Bianco" , H425 + 'Over View'!$B$4, IF(C425 = "Giallo" , H425 + 'Over View'!$B$5, IF(C425 = "Blu" , H425 + 'Over View'!$B$6, IF(C425 = "Verde" , H425 + 'Over View'!$B$7, IF(C425 = "Rosso" , H425 + 'Over View'!$B$8, "Grado Non Inserito") )))))</f>
        <v>Grado Non Inserito</v>
      </c>
      <c r="J425" s="4"/>
      <c r="K425" s="7"/>
      <c r="L425" s="2"/>
    </row>
    <row r="426">
      <c r="A426" s="3">
        <v>425.0</v>
      </c>
      <c r="B426" s="3" t="b">
        <v>0</v>
      </c>
      <c r="C426" s="9"/>
      <c r="D426" s="2"/>
      <c r="E426" s="10"/>
      <c r="F426" s="8"/>
      <c r="G426" s="8"/>
      <c r="H426" s="4"/>
      <c r="I426" s="9" t="str">
        <f>IF(C426 = "Smile", H426 + 'Over View'!$B$3, IF(C426 = "Bianco" , H426 + 'Over View'!$B$4, IF(C426 = "Giallo" , H426 + 'Over View'!$B$5, IF(C426 = "Blu" , H426 + 'Over View'!$B$6, IF(C426 = "Verde" , H426 + 'Over View'!$B$7, IF(C426 = "Rosso" , H426 + 'Over View'!$B$8, "Grado Non Inserito") )))))</f>
        <v>Grado Non Inserito</v>
      </c>
      <c r="J426" s="4"/>
      <c r="K426" s="7"/>
      <c r="L426" s="2"/>
    </row>
    <row r="427">
      <c r="A427" s="3">
        <v>426.0</v>
      </c>
      <c r="B427" s="3" t="b">
        <v>0</v>
      </c>
      <c r="C427" s="9"/>
      <c r="D427" s="2"/>
      <c r="E427" s="10"/>
      <c r="F427" s="8"/>
      <c r="G427" s="8"/>
      <c r="H427" s="4"/>
      <c r="I427" s="9" t="str">
        <f>IF(C427 = "Smile", H427 + 'Over View'!$B$3, IF(C427 = "Bianco" , H427 + 'Over View'!$B$4, IF(C427 = "Giallo" , H427 + 'Over View'!$B$5, IF(C427 = "Blu" , H427 + 'Over View'!$B$6, IF(C427 = "Verde" , H427 + 'Over View'!$B$7, IF(C427 = "Rosso" , H427 + 'Over View'!$B$8, "Grado Non Inserito") )))))</f>
        <v>Grado Non Inserito</v>
      </c>
      <c r="J427" s="4"/>
      <c r="K427" s="7"/>
      <c r="L427" s="2"/>
    </row>
    <row r="428">
      <c r="A428" s="3">
        <v>427.0</v>
      </c>
      <c r="B428" s="3" t="b">
        <v>0</v>
      </c>
      <c r="C428" s="9"/>
      <c r="D428" s="2"/>
      <c r="E428" s="10"/>
      <c r="F428" s="8"/>
      <c r="G428" s="8"/>
      <c r="H428" s="4"/>
      <c r="I428" s="9" t="str">
        <f>IF(C428 = "Smile", H428 + 'Over View'!$B$3, IF(C428 = "Bianco" , H428 + 'Over View'!$B$4, IF(C428 = "Giallo" , H428 + 'Over View'!$B$5, IF(C428 = "Blu" , H428 + 'Over View'!$B$6, IF(C428 = "Verde" , H428 + 'Over View'!$B$7, IF(C428 = "Rosso" , H428 + 'Over View'!$B$8, "Grado Non Inserito") )))))</f>
        <v>Grado Non Inserito</v>
      </c>
      <c r="J428" s="4"/>
      <c r="K428" s="7"/>
      <c r="L428" s="2"/>
    </row>
    <row r="429">
      <c r="A429" s="3">
        <v>428.0</v>
      </c>
      <c r="B429" s="3" t="b">
        <v>0</v>
      </c>
      <c r="C429" s="9"/>
      <c r="D429" s="2"/>
      <c r="E429" s="10"/>
      <c r="F429" s="8"/>
      <c r="G429" s="8"/>
      <c r="H429" s="4"/>
      <c r="I429" s="9" t="str">
        <f>IF(C429 = "Smile", H429 + 'Over View'!$B$3, IF(C429 = "Bianco" , H429 + 'Over View'!$B$4, IF(C429 = "Giallo" , H429 + 'Over View'!$B$5, IF(C429 = "Blu" , H429 + 'Over View'!$B$6, IF(C429 = "Verde" , H429 + 'Over View'!$B$7, IF(C429 = "Rosso" , H429 + 'Over View'!$B$8, "Grado Non Inserito") )))))</f>
        <v>Grado Non Inserito</v>
      </c>
      <c r="J429" s="4"/>
      <c r="K429" s="7"/>
      <c r="L429" s="2"/>
    </row>
    <row r="430">
      <c r="A430" s="3">
        <v>429.0</v>
      </c>
      <c r="B430" s="3" t="b">
        <v>0</v>
      </c>
      <c r="C430" s="9"/>
      <c r="D430" s="2"/>
      <c r="E430" s="10"/>
      <c r="F430" s="8"/>
      <c r="G430" s="8"/>
      <c r="H430" s="4"/>
      <c r="I430" s="9" t="str">
        <f>IF(C430 = "Smile", H430 + 'Over View'!$B$3, IF(C430 = "Bianco" , H430 + 'Over View'!$B$4, IF(C430 = "Giallo" , H430 + 'Over View'!$B$5, IF(C430 = "Blu" , H430 + 'Over View'!$B$6, IF(C430 = "Verde" , H430 + 'Over View'!$B$7, IF(C430 = "Rosso" , H430 + 'Over View'!$B$8, "Grado Non Inserito") )))))</f>
        <v>Grado Non Inserito</v>
      </c>
      <c r="J430" s="4"/>
      <c r="K430" s="7"/>
      <c r="L430" s="2"/>
    </row>
    <row r="431">
      <c r="A431" s="3">
        <v>430.0</v>
      </c>
      <c r="B431" s="3" t="b">
        <v>0</v>
      </c>
      <c r="C431" s="9"/>
      <c r="D431" s="2"/>
      <c r="E431" s="10"/>
      <c r="F431" s="8"/>
      <c r="G431" s="8"/>
      <c r="H431" s="4"/>
      <c r="I431" s="9" t="str">
        <f>IF(C431 = "Smile", H431 + 'Over View'!$B$3, IF(C431 = "Bianco" , H431 + 'Over View'!$B$4, IF(C431 = "Giallo" , H431 + 'Over View'!$B$5, IF(C431 = "Blu" , H431 + 'Over View'!$B$6, IF(C431 = "Verde" , H431 + 'Over View'!$B$7, IF(C431 = "Rosso" , H431 + 'Over View'!$B$8, "Grado Non Inserito") )))))</f>
        <v>Grado Non Inserito</v>
      </c>
      <c r="J431" s="4"/>
      <c r="K431" s="7"/>
      <c r="L431" s="2"/>
    </row>
    <row r="432">
      <c r="A432" s="3">
        <v>431.0</v>
      </c>
      <c r="B432" s="3" t="b">
        <v>0</v>
      </c>
      <c r="C432" s="9"/>
      <c r="D432" s="2"/>
      <c r="E432" s="10"/>
      <c r="F432" s="8"/>
      <c r="G432" s="8"/>
      <c r="H432" s="4"/>
      <c r="I432" s="9" t="str">
        <f>IF(C432 = "Smile", H432 + 'Over View'!$B$3, IF(C432 = "Bianco" , H432 + 'Over View'!$B$4, IF(C432 = "Giallo" , H432 + 'Over View'!$B$5, IF(C432 = "Blu" , H432 + 'Over View'!$B$6, IF(C432 = "Verde" , H432 + 'Over View'!$B$7, IF(C432 = "Rosso" , H432 + 'Over View'!$B$8, "Grado Non Inserito") )))))</f>
        <v>Grado Non Inserito</v>
      </c>
      <c r="J432" s="4"/>
      <c r="K432" s="7"/>
      <c r="L432" s="2"/>
    </row>
    <row r="433">
      <c r="A433" s="3">
        <v>432.0</v>
      </c>
      <c r="B433" s="3" t="b">
        <v>0</v>
      </c>
      <c r="C433" s="9"/>
      <c r="D433" s="2"/>
      <c r="E433" s="10"/>
      <c r="F433" s="8"/>
      <c r="G433" s="8"/>
      <c r="H433" s="4"/>
      <c r="I433" s="9" t="str">
        <f>IF(C433 = "Smile", H433 + 'Over View'!$B$3, IF(C433 = "Bianco" , H433 + 'Over View'!$B$4, IF(C433 = "Giallo" , H433 + 'Over View'!$B$5, IF(C433 = "Blu" , H433 + 'Over View'!$B$6, IF(C433 = "Verde" , H433 + 'Over View'!$B$7, IF(C433 = "Rosso" , H433 + 'Over View'!$B$8, "Grado Non Inserito") )))))</f>
        <v>Grado Non Inserito</v>
      </c>
      <c r="J433" s="4"/>
      <c r="K433" s="7"/>
      <c r="L433" s="2"/>
    </row>
    <row r="434">
      <c r="A434" s="3">
        <v>433.0</v>
      </c>
      <c r="B434" s="3" t="b">
        <v>0</v>
      </c>
      <c r="C434" s="9"/>
      <c r="D434" s="2"/>
      <c r="E434" s="10"/>
      <c r="F434" s="8"/>
      <c r="G434" s="8"/>
      <c r="H434" s="4"/>
      <c r="I434" s="9" t="str">
        <f>IF(C434 = "Smile", H434 + 'Over View'!$B$3, IF(C434 = "Bianco" , H434 + 'Over View'!$B$4, IF(C434 = "Giallo" , H434 + 'Over View'!$B$5, IF(C434 = "Blu" , H434 + 'Over View'!$B$6, IF(C434 = "Verde" , H434 + 'Over View'!$B$7, IF(C434 = "Rosso" , H434 + 'Over View'!$B$8, "Grado Non Inserito") )))))</f>
        <v>Grado Non Inserito</v>
      </c>
      <c r="J434" s="4"/>
      <c r="K434" s="7"/>
      <c r="L434" s="2"/>
    </row>
    <row r="435">
      <c r="A435" s="3">
        <v>434.0</v>
      </c>
      <c r="B435" s="3" t="b">
        <v>0</v>
      </c>
      <c r="C435" s="9"/>
      <c r="D435" s="2"/>
      <c r="E435" s="10"/>
      <c r="F435" s="8"/>
      <c r="G435" s="8"/>
      <c r="H435" s="4"/>
      <c r="I435" s="9" t="str">
        <f>IF(C435 = "Smile", H435 + 'Over View'!$B$3, IF(C435 = "Bianco" , H435 + 'Over View'!$B$4, IF(C435 = "Giallo" , H435 + 'Over View'!$B$5, IF(C435 = "Blu" , H435 + 'Over View'!$B$6, IF(C435 = "Verde" , H435 + 'Over View'!$B$7, IF(C435 = "Rosso" , H435 + 'Over View'!$B$8, "Grado Non Inserito") )))))</f>
        <v>Grado Non Inserito</v>
      </c>
      <c r="J435" s="4"/>
      <c r="K435" s="7"/>
      <c r="L435" s="2"/>
    </row>
    <row r="436">
      <c r="A436" s="3">
        <v>435.0</v>
      </c>
      <c r="B436" s="3" t="b">
        <v>0</v>
      </c>
      <c r="C436" s="9"/>
      <c r="D436" s="2"/>
      <c r="E436" s="10"/>
      <c r="F436" s="8"/>
      <c r="G436" s="8"/>
      <c r="H436" s="4"/>
      <c r="I436" s="9" t="str">
        <f>IF(C436 = "Smile", H436 + 'Over View'!$B$3, IF(C436 = "Bianco" , H436 + 'Over View'!$B$4, IF(C436 = "Giallo" , H436 + 'Over View'!$B$5, IF(C436 = "Blu" , H436 + 'Over View'!$B$6, IF(C436 = "Verde" , H436 + 'Over View'!$B$7, IF(C436 = "Rosso" , H436 + 'Over View'!$B$8, "Grado Non Inserito") )))))</f>
        <v>Grado Non Inserito</v>
      </c>
      <c r="J436" s="4"/>
      <c r="K436" s="7"/>
      <c r="L436" s="2"/>
    </row>
    <row r="437">
      <c r="A437" s="3">
        <v>436.0</v>
      </c>
      <c r="B437" s="3" t="b">
        <v>0</v>
      </c>
      <c r="C437" s="9"/>
      <c r="D437" s="2"/>
      <c r="E437" s="10"/>
      <c r="F437" s="8"/>
      <c r="G437" s="8"/>
      <c r="H437" s="4"/>
      <c r="I437" s="9" t="str">
        <f>IF(C437 = "Smile", H437 + 'Over View'!$B$3, IF(C437 = "Bianco" , H437 + 'Over View'!$B$4, IF(C437 = "Giallo" , H437 + 'Over View'!$B$5, IF(C437 = "Blu" , H437 + 'Over View'!$B$6, IF(C437 = "Verde" , H437 + 'Over View'!$B$7, IF(C437 = "Rosso" , H437 + 'Over View'!$B$8, "Grado Non Inserito") )))))</f>
        <v>Grado Non Inserito</v>
      </c>
      <c r="J437" s="4"/>
      <c r="K437" s="7"/>
      <c r="L437" s="2"/>
    </row>
    <row r="438">
      <c r="A438" s="3">
        <v>437.0</v>
      </c>
      <c r="B438" s="3" t="b">
        <v>0</v>
      </c>
      <c r="C438" s="9"/>
      <c r="D438" s="2"/>
      <c r="E438" s="10"/>
      <c r="F438" s="8"/>
      <c r="G438" s="8"/>
      <c r="H438" s="4"/>
      <c r="I438" s="9" t="str">
        <f>IF(C438 = "Smile", H438 + 'Over View'!$B$3, IF(C438 = "Bianco" , H438 + 'Over View'!$B$4, IF(C438 = "Giallo" , H438 + 'Over View'!$B$5, IF(C438 = "Blu" , H438 + 'Over View'!$B$6, IF(C438 = "Verde" , H438 + 'Over View'!$B$7, IF(C438 = "Rosso" , H438 + 'Over View'!$B$8, "Grado Non Inserito") )))))</f>
        <v>Grado Non Inserito</v>
      </c>
      <c r="J438" s="4"/>
      <c r="K438" s="7"/>
      <c r="L438" s="2"/>
    </row>
    <row r="439">
      <c r="A439" s="3">
        <v>438.0</v>
      </c>
      <c r="B439" s="3" t="b">
        <v>0</v>
      </c>
      <c r="C439" s="9"/>
      <c r="D439" s="2"/>
      <c r="E439" s="10"/>
      <c r="F439" s="8"/>
      <c r="G439" s="8"/>
      <c r="H439" s="4"/>
      <c r="I439" s="9" t="str">
        <f>IF(C439 = "Smile", H439 + 'Over View'!$B$3, IF(C439 = "Bianco" , H439 + 'Over View'!$B$4, IF(C439 = "Giallo" , H439 + 'Over View'!$B$5, IF(C439 = "Blu" , H439 + 'Over View'!$B$6, IF(C439 = "Verde" , H439 + 'Over View'!$B$7, IF(C439 = "Rosso" , H439 + 'Over View'!$B$8, "Grado Non Inserito") )))))</f>
        <v>Grado Non Inserito</v>
      </c>
      <c r="J439" s="4"/>
      <c r="K439" s="7"/>
      <c r="L439" s="2"/>
    </row>
    <row r="440">
      <c r="A440" s="3">
        <v>439.0</v>
      </c>
      <c r="B440" s="3" t="b">
        <v>0</v>
      </c>
      <c r="C440" s="9"/>
      <c r="D440" s="2"/>
      <c r="E440" s="10"/>
      <c r="F440" s="8"/>
      <c r="G440" s="8"/>
      <c r="H440" s="4"/>
      <c r="I440" s="9" t="str">
        <f>IF(C440 = "Smile", H440 + 'Over View'!$B$3, IF(C440 = "Bianco" , H440 + 'Over View'!$B$4, IF(C440 = "Giallo" , H440 + 'Over View'!$B$5, IF(C440 = "Blu" , H440 + 'Over View'!$B$6, IF(C440 = "Verde" , H440 + 'Over View'!$B$7, IF(C440 = "Rosso" , H440 + 'Over View'!$B$8, "Grado Non Inserito") )))))</f>
        <v>Grado Non Inserito</v>
      </c>
      <c r="J440" s="4"/>
      <c r="K440" s="7"/>
      <c r="L440" s="2"/>
    </row>
    <row r="441">
      <c r="A441" s="3">
        <v>440.0</v>
      </c>
      <c r="B441" s="3" t="b">
        <v>0</v>
      </c>
      <c r="C441" s="9"/>
      <c r="D441" s="2"/>
      <c r="E441" s="10"/>
      <c r="F441" s="8"/>
      <c r="G441" s="8"/>
      <c r="H441" s="4"/>
      <c r="I441" s="9" t="str">
        <f>IF(C441 = "Smile", H441 + 'Over View'!$B$3, IF(C441 = "Bianco" , H441 + 'Over View'!$B$4, IF(C441 = "Giallo" , H441 + 'Over View'!$B$5, IF(C441 = "Blu" , H441 + 'Over View'!$B$6, IF(C441 = "Verde" , H441 + 'Over View'!$B$7, IF(C441 = "Rosso" , H441 + 'Over View'!$B$8, "Grado Non Inserito") )))))</f>
        <v>Grado Non Inserito</v>
      </c>
      <c r="J441" s="4"/>
      <c r="K441" s="7"/>
      <c r="L441" s="2"/>
    </row>
    <row r="442">
      <c r="A442" s="3">
        <v>441.0</v>
      </c>
      <c r="B442" s="3" t="b">
        <v>0</v>
      </c>
      <c r="C442" s="9"/>
      <c r="D442" s="2"/>
      <c r="E442" s="10"/>
      <c r="F442" s="8"/>
      <c r="G442" s="8"/>
      <c r="H442" s="4"/>
      <c r="I442" s="9" t="str">
        <f>IF(C442 = "Smile", H442 + 'Over View'!$B$3, IF(C442 = "Bianco" , H442 + 'Over View'!$B$4, IF(C442 = "Giallo" , H442 + 'Over View'!$B$5, IF(C442 = "Blu" , H442 + 'Over View'!$B$6, IF(C442 = "Verde" , H442 + 'Over View'!$B$7, IF(C442 = "Rosso" , H442 + 'Over View'!$B$8, "Grado Non Inserito") )))))</f>
        <v>Grado Non Inserito</v>
      </c>
      <c r="J442" s="4"/>
      <c r="K442" s="7"/>
      <c r="L442" s="2"/>
    </row>
    <row r="443">
      <c r="A443" s="3">
        <v>442.0</v>
      </c>
      <c r="B443" s="3" t="b">
        <v>0</v>
      </c>
      <c r="C443" s="9"/>
      <c r="D443" s="2"/>
      <c r="E443" s="10"/>
      <c r="F443" s="8"/>
      <c r="G443" s="8"/>
      <c r="H443" s="4"/>
      <c r="I443" s="9" t="str">
        <f>IF(C443 = "Smile", H443 + 'Over View'!$B$3, IF(C443 = "Bianco" , H443 + 'Over View'!$B$4, IF(C443 = "Giallo" , H443 + 'Over View'!$B$5, IF(C443 = "Blu" , H443 + 'Over View'!$B$6, IF(C443 = "Verde" , H443 + 'Over View'!$B$7, IF(C443 = "Rosso" , H443 + 'Over View'!$B$8, "Grado Non Inserito") )))))</f>
        <v>Grado Non Inserito</v>
      </c>
      <c r="J443" s="4"/>
      <c r="K443" s="7"/>
      <c r="L443" s="2"/>
    </row>
    <row r="444">
      <c r="A444" s="3">
        <v>443.0</v>
      </c>
      <c r="B444" s="3" t="b">
        <v>0</v>
      </c>
      <c r="C444" s="9"/>
      <c r="D444" s="2"/>
      <c r="E444" s="10"/>
      <c r="F444" s="8"/>
      <c r="G444" s="8"/>
      <c r="H444" s="4"/>
      <c r="I444" s="9" t="str">
        <f>IF(C444 = "Smile", H444 + 'Over View'!$B$3, IF(C444 = "Bianco" , H444 + 'Over View'!$B$4, IF(C444 = "Giallo" , H444 + 'Over View'!$B$5, IF(C444 = "Blu" , H444 + 'Over View'!$B$6, IF(C444 = "Verde" , H444 + 'Over View'!$B$7, IF(C444 = "Rosso" , H444 + 'Over View'!$B$8, "Grado Non Inserito") )))))</f>
        <v>Grado Non Inserito</v>
      </c>
      <c r="J444" s="4"/>
      <c r="K444" s="7"/>
      <c r="L444" s="2"/>
    </row>
    <row r="445">
      <c r="A445" s="3">
        <v>444.0</v>
      </c>
      <c r="B445" s="3" t="b">
        <v>0</v>
      </c>
      <c r="C445" s="9"/>
      <c r="D445" s="2"/>
      <c r="E445" s="10"/>
      <c r="F445" s="8"/>
      <c r="G445" s="8"/>
      <c r="H445" s="4"/>
      <c r="I445" s="9" t="str">
        <f>IF(C445 = "Smile", H445 + 'Over View'!$B$3, IF(C445 = "Bianco" , H445 + 'Over View'!$B$4, IF(C445 = "Giallo" , H445 + 'Over View'!$B$5, IF(C445 = "Blu" , H445 + 'Over View'!$B$6, IF(C445 = "Verde" , H445 + 'Over View'!$B$7, IF(C445 = "Rosso" , H445 + 'Over View'!$B$8, "Grado Non Inserito") )))))</f>
        <v>Grado Non Inserito</v>
      </c>
      <c r="J445" s="4"/>
      <c r="K445" s="7"/>
      <c r="L445" s="2"/>
    </row>
    <row r="446">
      <c r="A446" s="3">
        <v>445.0</v>
      </c>
      <c r="B446" s="3" t="b">
        <v>0</v>
      </c>
      <c r="C446" s="9"/>
      <c r="D446" s="2"/>
      <c r="E446" s="10"/>
      <c r="F446" s="8"/>
      <c r="G446" s="8"/>
      <c r="H446" s="4"/>
      <c r="I446" s="9" t="str">
        <f>IF(C446 = "Smile", H446 + 'Over View'!$B$3, IF(C446 = "Bianco" , H446 + 'Over View'!$B$4, IF(C446 = "Giallo" , H446 + 'Over View'!$B$5, IF(C446 = "Blu" , H446 + 'Over View'!$B$6, IF(C446 = "Verde" , H446 + 'Over View'!$B$7, IF(C446 = "Rosso" , H446 + 'Over View'!$B$8, "Grado Non Inserito") )))))</f>
        <v>Grado Non Inserito</v>
      </c>
      <c r="J446" s="4"/>
      <c r="K446" s="7"/>
      <c r="L446" s="2"/>
    </row>
    <row r="447">
      <c r="A447" s="3">
        <v>446.0</v>
      </c>
      <c r="B447" s="3" t="b">
        <v>0</v>
      </c>
      <c r="C447" s="9"/>
      <c r="D447" s="2"/>
      <c r="E447" s="10"/>
      <c r="F447" s="8"/>
      <c r="G447" s="8"/>
      <c r="H447" s="4"/>
      <c r="I447" s="9" t="str">
        <f>IF(C447 = "Smile", H447 + 'Over View'!$B$3, IF(C447 = "Bianco" , H447 + 'Over View'!$B$4, IF(C447 = "Giallo" , H447 + 'Over View'!$B$5, IF(C447 = "Blu" , H447 + 'Over View'!$B$6, IF(C447 = "Verde" , H447 + 'Over View'!$B$7, IF(C447 = "Rosso" , H447 + 'Over View'!$B$8, "Grado Non Inserito") )))))</f>
        <v>Grado Non Inserito</v>
      </c>
      <c r="J447" s="4"/>
      <c r="K447" s="7"/>
      <c r="L447" s="2"/>
    </row>
    <row r="448">
      <c r="A448" s="3">
        <v>447.0</v>
      </c>
      <c r="B448" s="3" t="b">
        <v>0</v>
      </c>
      <c r="C448" s="9"/>
      <c r="D448" s="2"/>
      <c r="E448" s="10"/>
      <c r="F448" s="8"/>
      <c r="G448" s="8"/>
      <c r="H448" s="4"/>
      <c r="I448" s="9" t="str">
        <f>IF(C448 = "Smile", H448 + 'Over View'!$B$3, IF(C448 = "Bianco" , H448 + 'Over View'!$B$4, IF(C448 = "Giallo" , H448 + 'Over View'!$B$5, IF(C448 = "Blu" , H448 + 'Over View'!$B$6, IF(C448 = "Verde" , H448 + 'Over View'!$B$7, IF(C448 = "Rosso" , H448 + 'Over View'!$B$8, "Grado Non Inserito") )))))</f>
        <v>Grado Non Inserito</v>
      </c>
      <c r="J448" s="4"/>
      <c r="K448" s="7"/>
      <c r="L448" s="2"/>
    </row>
    <row r="449">
      <c r="A449" s="3">
        <v>448.0</v>
      </c>
      <c r="B449" s="3" t="b">
        <v>0</v>
      </c>
      <c r="C449" s="9"/>
      <c r="D449" s="2"/>
      <c r="E449" s="10"/>
      <c r="F449" s="8"/>
      <c r="G449" s="8"/>
      <c r="H449" s="4"/>
      <c r="I449" s="9" t="str">
        <f>IF(C449 = "Smile", H449 + 'Over View'!$B$3, IF(C449 = "Bianco" , H449 + 'Over View'!$B$4, IF(C449 = "Giallo" , H449 + 'Over View'!$B$5, IF(C449 = "Blu" , H449 + 'Over View'!$B$6, IF(C449 = "Verde" , H449 + 'Over View'!$B$7, IF(C449 = "Rosso" , H449 + 'Over View'!$B$8, "Grado Non Inserito") )))))</f>
        <v>Grado Non Inserito</v>
      </c>
      <c r="J449" s="4"/>
      <c r="K449" s="7"/>
      <c r="L449" s="2"/>
    </row>
    <row r="450">
      <c r="A450" s="3">
        <v>449.0</v>
      </c>
      <c r="B450" s="3" t="b">
        <v>0</v>
      </c>
      <c r="C450" s="9"/>
      <c r="D450" s="2"/>
      <c r="E450" s="10"/>
      <c r="F450" s="8"/>
      <c r="G450" s="8"/>
      <c r="H450" s="4"/>
      <c r="I450" s="9" t="str">
        <f>IF(C450 = "Smile", H450 + 'Over View'!$B$3, IF(C450 = "Bianco" , H450 + 'Over View'!$B$4, IF(C450 = "Giallo" , H450 + 'Over View'!$B$5, IF(C450 = "Blu" , H450 + 'Over View'!$B$6, IF(C450 = "Verde" , H450 + 'Over View'!$B$7, IF(C450 = "Rosso" , H450 + 'Over View'!$B$8, "Grado Non Inserito") )))))</f>
        <v>Grado Non Inserito</v>
      </c>
      <c r="J450" s="4"/>
      <c r="K450" s="7"/>
      <c r="L450" s="2"/>
    </row>
    <row r="451">
      <c r="A451" s="3">
        <v>450.0</v>
      </c>
      <c r="B451" s="3" t="b">
        <v>0</v>
      </c>
      <c r="C451" s="9"/>
      <c r="D451" s="2"/>
      <c r="E451" s="10"/>
      <c r="F451" s="8"/>
      <c r="G451" s="8"/>
      <c r="H451" s="4"/>
      <c r="I451" s="9" t="str">
        <f>IF(C451 = "Smile", H451 + 'Over View'!$B$3, IF(C451 = "Bianco" , H451 + 'Over View'!$B$4, IF(C451 = "Giallo" , H451 + 'Over View'!$B$5, IF(C451 = "Blu" , H451 + 'Over View'!$B$6, IF(C451 = "Verde" , H451 + 'Over View'!$B$7, IF(C451 = "Rosso" , H451 + 'Over View'!$B$8, "Grado Non Inserito") )))))</f>
        <v>Grado Non Inserito</v>
      </c>
      <c r="J451" s="4"/>
      <c r="K451" s="7"/>
      <c r="L451" s="2"/>
    </row>
    <row r="452">
      <c r="A452" s="3">
        <v>451.0</v>
      </c>
      <c r="B452" s="3" t="b">
        <v>0</v>
      </c>
      <c r="C452" s="9"/>
      <c r="D452" s="2"/>
      <c r="E452" s="10"/>
      <c r="F452" s="8"/>
      <c r="G452" s="8"/>
      <c r="H452" s="4"/>
      <c r="I452" s="9" t="str">
        <f>IF(C452 = "Smile", H452 + 'Over View'!$B$3, IF(C452 = "Bianco" , H452 + 'Over View'!$B$4, IF(C452 = "Giallo" , H452 + 'Over View'!$B$5, IF(C452 = "Blu" , H452 + 'Over View'!$B$6, IF(C452 = "Verde" , H452 + 'Over View'!$B$7, IF(C452 = "Rosso" , H452 + 'Over View'!$B$8, "Grado Non Inserito") )))))</f>
        <v>Grado Non Inserito</v>
      </c>
      <c r="J452" s="4"/>
      <c r="K452" s="7"/>
      <c r="L452" s="2"/>
    </row>
    <row r="453">
      <c r="A453" s="3">
        <v>452.0</v>
      </c>
      <c r="B453" s="3" t="b">
        <v>0</v>
      </c>
      <c r="C453" s="9"/>
      <c r="D453" s="2"/>
      <c r="E453" s="10"/>
      <c r="F453" s="8"/>
      <c r="G453" s="8"/>
      <c r="H453" s="4"/>
      <c r="I453" s="9" t="str">
        <f>IF(C453 = "Smile", H453 + 'Over View'!$B$3, IF(C453 = "Bianco" , H453 + 'Over View'!$B$4, IF(C453 = "Giallo" , H453 + 'Over View'!$B$5, IF(C453 = "Blu" , H453 + 'Over View'!$B$6, IF(C453 = "Verde" , H453 + 'Over View'!$B$7, IF(C453 = "Rosso" , H453 + 'Over View'!$B$8, "Grado Non Inserito") )))))</f>
        <v>Grado Non Inserito</v>
      </c>
      <c r="J453" s="4"/>
      <c r="K453" s="7"/>
      <c r="L453" s="2"/>
    </row>
    <row r="454">
      <c r="A454" s="3">
        <v>453.0</v>
      </c>
      <c r="B454" s="3" t="b">
        <v>0</v>
      </c>
      <c r="C454" s="9"/>
      <c r="D454" s="2"/>
      <c r="E454" s="10"/>
      <c r="F454" s="8"/>
      <c r="G454" s="8"/>
      <c r="H454" s="4"/>
      <c r="I454" s="9" t="str">
        <f>IF(C454 = "Smile", H454 + 'Over View'!$B$3, IF(C454 = "Bianco" , H454 + 'Over View'!$B$4, IF(C454 = "Giallo" , H454 + 'Over View'!$B$5, IF(C454 = "Blu" , H454 + 'Over View'!$B$6, IF(C454 = "Verde" , H454 + 'Over View'!$B$7, IF(C454 = "Rosso" , H454 + 'Over View'!$B$8, "Grado Non Inserito") )))))</f>
        <v>Grado Non Inserito</v>
      </c>
      <c r="J454" s="4"/>
      <c r="K454" s="7"/>
      <c r="L454" s="2"/>
    </row>
    <row r="455">
      <c r="A455" s="3">
        <v>454.0</v>
      </c>
      <c r="B455" s="3" t="b">
        <v>0</v>
      </c>
      <c r="C455" s="9"/>
      <c r="D455" s="2"/>
      <c r="E455" s="10"/>
      <c r="F455" s="8"/>
      <c r="G455" s="8"/>
      <c r="H455" s="4"/>
      <c r="I455" s="9" t="str">
        <f>IF(C455 = "Smile", H455 + 'Over View'!$B$3, IF(C455 = "Bianco" , H455 + 'Over View'!$B$4, IF(C455 = "Giallo" , H455 + 'Over View'!$B$5, IF(C455 = "Blu" , H455 + 'Over View'!$B$6, IF(C455 = "Verde" , H455 + 'Over View'!$B$7, IF(C455 = "Rosso" , H455 + 'Over View'!$B$8, "Grado Non Inserito") )))))</f>
        <v>Grado Non Inserito</v>
      </c>
      <c r="J455" s="4"/>
      <c r="K455" s="7"/>
      <c r="L455" s="2"/>
    </row>
    <row r="456">
      <c r="A456" s="3">
        <v>455.0</v>
      </c>
      <c r="B456" s="3" t="b">
        <v>0</v>
      </c>
      <c r="C456" s="9"/>
      <c r="D456" s="2"/>
      <c r="E456" s="10"/>
      <c r="F456" s="8"/>
      <c r="G456" s="8"/>
      <c r="H456" s="4"/>
      <c r="I456" s="9" t="str">
        <f>IF(C456 = "Smile", H456 + 'Over View'!$B$3, IF(C456 = "Bianco" , H456 + 'Over View'!$B$4, IF(C456 = "Giallo" , H456 + 'Over View'!$B$5, IF(C456 = "Blu" , H456 + 'Over View'!$B$6, IF(C456 = "Verde" , H456 + 'Over View'!$B$7, IF(C456 = "Rosso" , H456 + 'Over View'!$B$8, "Grado Non Inserito") )))))</f>
        <v>Grado Non Inserito</v>
      </c>
      <c r="J456" s="4"/>
      <c r="K456" s="7"/>
      <c r="L456" s="2"/>
    </row>
    <row r="457">
      <c r="A457" s="3">
        <v>456.0</v>
      </c>
      <c r="B457" s="3" t="b">
        <v>0</v>
      </c>
      <c r="C457" s="9"/>
      <c r="D457" s="2"/>
      <c r="E457" s="10"/>
      <c r="F457" s="8"/>
      <c r="G457" s="8"/>
      <c r="H457" s="4"/>
      <c r="I457" s="9" t="str">
        <f>IF(C457 = "Smile", H457 + 'Over View'!$B$3, IF(C457 = "Bianco" , H457 + 'Over View'!$B$4, IF(C457 = "Giallo" , H457 + 'Over View'!$B$5, IF(C457 = "Blu" , H457 + 'Over View'!$B$6, IF(C457 = "Verde" , H457 + 'Over View'!$B$7, IF(C457 = "Rosso" , H457 + 'Over View'!$B$8, "Grado Non Inserito") )))))</f>
        <v>Grado Non Inserito</v>
      </c>
      <c r="J457" s="4"/>
      <c r="K457" s="7"/>
      <c r="L457" s="2"/>
    </row>
    <row r="458">
      <c r="A458" s="3">
        <v>457.0</v>
      </c>
      <c r="B458" s="3" t="b">
        <v>0</v>
      </c>
      <c r="C458" s="9"/>
      <c r="D458" s="2"/>
      <c r="E458" s="10"/>
      <c r="F458" s="8"/>
      <c r="G458" s="8"/>
      <c r="H458" s="4"/>
      <c r="I458" s="9" t="str">
        <f>IF(C458 = "Smile", H458 + 'Over View'!$B$3, IF(C458 = "Bianco" , H458 + 'Over View'!$B$4, IF(C458 = "Giallo" , H458 + 'Over View'!$B$5, IF(C458 = "Blu" , H458 + 'Over View'!$B$6, IF(C458 = "Verde" , H458 + 'Over View'!$B$7, IF(C458 = "Rosso" , H458 + 'Over View'!$B$8, "Grado Non Inserito") )))))</f>
        <v>Grado Non Inserito</v>
      </c>
      <c r="J458" s="4"/>
      <c r="K458" s="7"/>
      <c r="L458" s="2"/>
    </row>
    <row r="459">
      <c r="A459" s="3">
        <v>458.0</v>
      </c>
      <c r="B459" s="3" t="b">
        <v>0</v>
      </c>
      <c r="C459" s="9"/>
      <c r="D459" s="2"/>
      <c r="E459" s="10"/>
      <c r="F459" s="8"/>
      <c r="G459" s="8"/>
      <c r="H459" s="4"/>
      <c r="I459" s="9" t="str">
        <f>IF(C459 = "Smile", H459 + 'Over View'!$B$3, IF(C459 = "Bianco" , H459 + 'Over View'!$B$4, IF(C459 = "Giallo" , H459 + 'Over View'!$B$5, IF(C459 = "Blu" , H459 + 'Over View'!$B$6, IF(C459 = "Verde" , H459 + 'Over View'!$B$7, IF(C459 = "Rosso" , H459 + 'Over View'!$B$8, "Grado Non Inserito") )))))</f>
        <v>Grado Non Inserito</v>
      </c>
      <c r="J459" s="4"/>
      <c r="K459" s="7"/>
      <c r="L459" s="2"/>
    </row>
    <row r="460">
      <c r="A460" s="3">
        <v>459.0</v>
      </c>
      <c r="B460" s="3" t="b">
        <v>0</v>
      </c>
      <c r="C460" s="9"/>
      <c r="D460" s="2"/>
      <c r="E460" s="10"/>
      <c r="F460" s="8"/>
      <c r="G460" s="8"/>
      <c r="H460" s="4"/>
      <c r="I460" s="9" t="str">
        <f>IF(C460 = "Smile", H460 + 'Over View'!$B$3, IF(C460 = "Bianco" , H460 + 'Over View'!$B$4, IF(C460 = "Giallo" , H460 + 'Over View'!$B$5, IF(C460 = "Blu" , H460 + 'Over View'!$B$6, IF(C460 = "Verde" , H460 + 'Over View'!$B$7, IF(C460 = "Rosso" , H460 + 'Over View'!$B$8, "Grado Non Inserito") )))))</f>
        <v>Grado Non Inserito</v>
      </c>
      <c r="J460" s="4"/>
      <c r="K460" s="7"/>
      <c r="L460" s="2"/>
    </row>
    <row r="461">
      <c r="A461" s="3">
        <v>460.0</v>
      </c>
      <c r="B461" s="3" t="b">
        <v>0</v>
      </c>
      <c r="C461" s="9"/>
      <c r="D461" s="2"/>
      <c r="E461" s="10"/>
      <c r="F461" s="8"/>
      <c r="G461" s="8"/>
      <c r="H461" s="4"/>
      <c r="I461" s="9" t="str">
        <f>IF(C461 = "Smile", H461 + 'Over View'!$B$3, IF(C461 = "Bianco" , H461 + 'Over View'!$B$4, IF(C461 = "Giallo" , H461 + 'Over View'!$B$5, IF(C461 = "Blu" , H461 + 'Over View'!$B$6, IF(C461 = "Verde" , H461 + 'Over View'!$B$7, IF(C461 = "Rosso" , H461 + 'Over View'!$B$8, "Grado Non Inserito") )))))</f>
        <v>Grado Non Inserito</v>
      </c>
      <c r="J461" s="4"/>
      <c r="K461" s="7"/>
      <c r="L461" s="2"/>
    </row>
    <row r="462">
      <c r="A462" s="3">
        <v>461.0</v>
      </c>
      <c r="B462" s="3" t="b">
        <v>0</v>
      </c>
      <c r="C462" s="9"/>
      <c r="D462" s="2"/>
      <c r="E462" s="10"/>
      <c r="F462" s="8"/>
      <c r="G462" s="8"/>
      <c r="H462" s="4"/>
      <c r="I462" s="9" t="str">
        <f>IF(C462 = "Smile", H462 + 'Over View'!$B$3, IF(C462 = "Bianco" , H462 + 'Over View'!$B$4, IF(C462 = "Giallo" , H462 + 'Over View'!$B$5, IF(C462 = "Blu" , H462 + 'Over View'!$B$6, IF(C462 = "Verde" , H462 + 'Over View'!$B$7, IF(C462 = "Rosso" , H462 + 'Over View'!$B$8, "Grado Non Inserito") )))))</f>
        <v>Grado Non Inserito</v>
      </c>
      <c r="J462" s="4"/>
      <c r="K462" s="7"/>
      <c r="L462" s="2"/>
    </row>
    <row r="463">
      <c r="A463" s="3">
        <v>462.0</v>
      </c>
      <c r="B463" s="3" t="b">
        <v>0</v>
      </c>
      <c r="C463" s="9"/>
      <c r="D463" s="2"/>
      <c r="E463" s="10"/>
      <c r="F463" s="8"/>
      <c r="G463" s="8"/>
      <c r="H463" s="4"/>
      <c r="I463" s="9" t="str">
        <f>IF(C463 = "Smile", H463 + 'Over View'!$B$3, IF(C463 = "Bianco" , H463 + 'Over View'!$B$4, IF(C463 = "Giallo" , H463 + 'Over View'!$B$5, IF(C463 = "Blu" , H463 + 'Over View'!$B$6, IF(C463 = "Verde" , H463 + 'Over View'!$B$7, IF(C463 = "Rosso" , H463 + 'Over View'!$B$8, "Grado Non Inserito") )))))</f>
        <v>Grado Non Inserito</v>
      </c>
      <c r="J463" s="4"/>
      <c r="K463" s="7"/>
      <c r="L463" s="2"/>
    </row>
    <row r="464">
      <c r="A464" s="3">
        <v>463.0</v>
      </c>
      <c r="B464" s="3" t="b">
        <v>0</v>
      </c>
      <c r="C464" s="9"/>
      <c r="D464" s="2"/>
      <c r="E464" s="10"/>
      <c r="F464" s="8"/>
      <c r="G464" s="8"/>
      <c r="H464" s="4"/>
      <c r="I464" s="9" t="str">
        <f>IF(C464 = "Smile", H464 + 'Over View'!$B$3, IF(C464 = "Bianco" , H464 + 'Over View'!$B$4, IF(C464 = "Giallo" , H464 + 'Over View'!$B$5, IF(C464 = "Blu" , H464 + 'Over View'!$B$6, IF(C464 = "Verde" , H464 + 'Over View'!$B$7, IF(C464 = "Rosso" , H464 + 'Over View'!$B$8, "Grado Non Inserito") )))))</f>
        <v>Grado Non Inserito</v>
      </c>
      <c r="J464" s="4"/>
      <c r="K464" s="7"/>
      <c r="L464" s="2"/>
    </row>
    <row r="465">
      <c r="A465" s="3">
        <v>464.0</v>
      </c>
      <c r="B465" s="3" t="b">
        <v>0</v>
      </c>
      <c r="C465" s="9"/>
      <c r="D465" s="2"/>
      <c r="E465" s="10"/>
      <c r="F465" s="8"/>
      <c r="G465" s="8"/>
      <c r="H465" s="4"/>
      <c r="I465" s="9" t="str">
        <f>IF(C465 = "Smile", H465 + 'Over View'!$B$3, IF(C465 = "Bianco" , H465 + 'Over View'!$B$4, IF(C465 = "Giallo" , H465 + 'Over View'!$B$5, IF(C465 = "Blu" , H465 + 'Over View'!$B$6, IF(C465 = "Verde" , H465 + 'Over View'!$B$7, IF(C465 = "Rosso" , H465 + 'Over View'!$B$8, "Grado Non Inserito") )))))</f>
        <v>Grado Non Inserito</v>
      </c>
      <c r="J465" s="4"/>
      <c r="K465" s="7"/>
      <c r="L465" s="2"/>
    </row>
    <row r="466">
      <c r="A466" s="3">
        <v>465.0</v>
      </c>
      <c r="B466" s="3" t="b">
        <v>0</v>
      </c>
      <c r="C466" s="9"/>
      <c r="D466" s="2"/>
      <c r="E466" s="10"/>
      <c r="F466" s="8"/>
      <c r="G466" s="8"/>
      <c r="H466" s="4"/>
      <c r="I466" s="9" t="str">
        <f>IF(C466 = "Smile", H466 + 'Over View'!$B$3, IF(C466 = "Bianco" , H466 + 'Over View'!$B$4, IF(C466 = "Giallo" , H466 + 'Over View'!$B$5, IF(C466 = "Blu" , H466 + 'Over View'!$B$6, IF(C466 = "Verde" , H466 + 'Over View'!$B$7, IF(C466 = "Rosso" , H466 + 'Over View'!$B$8, "Grado Non Inserito") )))))</f>
        <v>Grado Non Inserito</v>
      </c>
      <c r="J466" s="4"/>
      <c r="K466" s="7"/>
      <c r="L466" s="2"/>
    </row>
    <row r="467">
      <c r="A467" s="3">
        <v>466.0</v>
      </c>
      <c r="B467" s="3" t="b">
        <v>0</v>
      </c>
      <c r="C467" s="9"/>
      <c r="D467" s="2"/>
      <c r="E467" s="10"/>
      <c r="F467" s="8"/>
      <c r="G467" s="8"/>
      <c r="H467" s="4"/>
      <c r="I467" s="9" t="str">
        <f>IF(C467 = "Smile", H467 + 'Over View'!$B$3, IF(C467 = "Bianco" , H467 + 'Over View'!$B$4, IF(C467 = "Giallo" , H467 + 'Over View'!$B$5, IF(C467 = "Blu" , H467 + 'Over View'!$B$6, IF(C467 = "Verde" , H467 + 'Over View'!$B$7, IF(C467 = "Rosso" , H467 + 'Over View'!$B$8, "Grado Non Inserito") )))))</f>
        <v>Grado Non Inserito</v>
      </c>
      <c r="J467" s="4"/>
      <c r="K467" s="7"/>
      <c r="L467" s="2"/>
    </row>
    <row r="468">
      <c r="A468" s="3">
        <v>467.0</v>
      </c>
      <c r="B468" s="3" t="b">
        <v>0</v>
      </c>
      <c r="C468" s="9"/>
      <c r="D468" s="2"/>
      <c r="E468" s="10"/>
      <c r="F468" s="8"/>
      <c r="G468" s="8"/>
      <c r="H468" s="4"/>
      <c r="I468" s="9" t="str">
        <f>IF(C468 = "Smile", H468 + 'Over View'!$B$3, IF(C468 = "Bianco" , H468 + 'Over View'!$B$4, IF(C468 = "Giallo" , H468 + 'Over View'!$B$5, IF(C468 = "Blu" , H468 + 'Over View'!$B$6, IF(C468 = "Verde" , H468 + 'Over View'!$B$7, IF(C468 = "Rosso" , H468 + 'Over View'!$B$8, "Grado Non Inserito") )))))</f>
        <v>Grado Non Inserito</v>
      </c>
      <c r="J468" s="4"/>
      <c r="K468" s="7"/>
      <c r="L468" s="2"/>
    </row>
    <row r="469">
      <c r="A469" s="3">
        <v>468.0</v>
      </c>
      <c r="B469" s="3" t="b">
        <v>0</v>
      </c>
      <c r="C469" s="9"/>
      <c r="D469" s="2"/>
      <c r="E469" s="10"/>
      <c r="F469" s="8"/>
      <c r="G469" s="8"/>
      <c r="H469" s="4"/>
      <c r="I469" s="9" t="str">
        <f>IF(C469 = "Smile", H469 + 'Over View'!$B$3, IF(C469 = "Bianco" , H469 + 'Over View'!$B$4, IF(C469 = "Giallo" , H469 + 'Over View'!$B$5, IF(C469 = "Blu" , H469 + 'Over View'!$B$6, IF(C469 = "Verde" , H469 + 'Over View'!$B$7, IF(C469 = "Rosso" , H469 + 'Over View'!$B$8, "Grado Non Inserito") )))))</f>
        <v>Grado Non Inserito</v>
      </c>
      <c r="J469" s="4"/>
      <c r="K469" s="7"/>
      <c r="L469" s="2"/>
    </row>
    <row r="470">
      <c r="A470" s="3">
        <v>469.0</v>
      </c>
      <c r="B470" s="3" t="b">
        <v>0</v>
      </c>
      <c r="C470" s="9"/>
      <c r="D470" s="2"/>
      <c r="E470" s="10"/>
      <c r="F470" s="8"/>
      <c r="G470" s="8"/>
      <c r="H470" s="4"/>
      <c r="I470" s="9" t="str">
        <f>IF(C470 = "Smile", H470 + 'Over View'!$B$3, IF(C470 = "Bianco" , H470 + 'Over View'!$B$4, IF(C470 = "Giallo" , H470 + 'Over View'!$B$5, IF(C470 = "Blu" , H470 + 'Over View'!$B$6, IF(C470 = "Verde" , H470 + 'Over View'!$B$7, IF(C470 = "Rosso" , H470 + 'Over View'!$B$8, "Grado Non Inserito") )))))</f>
        <v>Grado Non Inserito</v>
      </c>
      <c r="J470" s="4"/>
      <c r="K470" s="7"/>
      <c r="L470" s="2"/>
    </row>
    <row r="471">
      <c r="A471" s="3">
        <v>470.0</v>
      </c>
      <c r="B471" s="3" t="b">
        <v>0</v>
      </c>
      <c r="C471" s="9"/>
      <c r="D471" s="2"/>
      <c r="E471" s="10"/>
      <c r="F471" s="8"/>
      <c r="G471" s="8"/>
      <c r="H471" s="4"/>
      <c r="I471" s="9" t="str">
        <f>IF(C471 = "Smile", H471 + 'Over View'!$B$3, IF(C471 = "Bianco" , H471 + 'Over View'!$B$4, IF(C471 = "Giallo" , H471 + 'Over View'!$B$5, IF(C471 = "Blu" , H471 + 'Over View'!$B$6, IF(C471 = "Verde" , H471 + 'Over View'!$B$7, IF(C471 = "Rosso" , H471 + 'Over View'!$B$8, "Grado Non Inserito") )))))</f>
        <v>Grado Non Inserito</v>
      </c>
      <c r="J471" s="4"/>
      <c r="K471" s="7"/>
      <c r="L471" s="2"/>
    </row>
    <row r="472">
      <c r="A472" s="3">
        <v>471.0</v>
      </c>
      <c r="B472" s="3" t="b">
        <v>0</v>
      </c>
      <c r="C472" s="9"/>
      <c r="D472" s="2"/>
      <c r="E472" s="10"/>
      <c r="F472" s="8"/>
      <c r="G472" s="8"/>
      <c r="H472" s="4"/>
      <c r="I472" s="9" t="str">
        <f>IF(C472 = "Smile", H472 + 'Over View'!$B$3, IF(C472 = "Bianco" , H472 + 'Over View'!$B$4, IF(C472 = "Giallo" , H472 + 'Over View'!$B$5, IF(C472 = "Blu" , H472 + 'Over View'!$B$6, IF(C472 = "Verde" , H472 + 'Over View'!$B$7, IF(C472 = "Rosso" , H472 + 'Over View'!$B$8, "Grado Non Inserito") )))))</f>
        <v>Grado Non Inserito</v>
      </c>
      <c r="J472" s="4"/>
      <c r="K472" s="7"/>
      <c r="L472" s="2"/>
    </row>
    <row r="473">
      <c r="A473" s="3">
        <v>472.0</v>
      </c>
      <c r="B473" s="3" t="b">
        <v>0</v>
      </c>
      <c r="C473" s="9"/>
      <c r="D473" s="2"/>
      <c r="E473" s="10"/>
      <c r="F473" s="8"/>
      <c r="G473" s="8"/>
      <c r="H473" s="4"/>
      <c r="I473" s="9" t="str">
        <f>IF(C473 = "Smile", H473 + 'Over View'!$B$3, IF(C473 = "Bianco" , H473 + 'Over View'!$B$4, IF(C473 = "Giallo" , H473 + 'Over View'!$B$5, IF(C473 = "Blu" , H473 + 'Over View'!$B$6, IF(C473 = "Verde" , H473 + 'Over View'!$B$7, IF(C473 = "Rosso" , H473 + 'Over View'!$B$8, "Grado Non Inserito") )))))</f>
        <v>Grado Non Inserito</v>
      </c>
      <c r="J473" s="4"/>
      <c r="K473" s="7"/>
      <c r="L473" s="2"/>
    </row>
    <row r="474">
      <c r="A474" s="3">
        <v>473.0</v>
      </c>
      <c r="B474" s="3" t="b">
        <v>0</v>
      </c>
      <c r="C474" s="9"/>
      <c r="D474" s="2"/>
      <c r="E474" s="10"/>
      <c r="F474" s="8"/>
      <c r="G474" s="8"/>
      <c r="H474" s="4"/>
      <c r="I474" s="9" t="str">
        <f>IF(C474 = "Smile", H474 + 'Over View'!$B$3, IF(C474 = "Bianco" , H474 + 'Over View'!$B$4, IF(C474 = "Giallo" , H474 + 'Over View'!$B$5, IF(C474 = "Blu" , H474 + 'Over View'!$B$6, IF(C474 = "Verde" , H474 + 'Over View'!$B$7, IF(C474 = "Rosso" , H474 + 'Over View'!$B$8, "Grado Non Inserito") )))))</f>
        <v>Grado Non Inserito</v>
      </c>
      <c r="J474" s="4"/>
      <c r="K474" s="7"/>
      <c r="L474" s="2"/>
    </row>
    <row r="475">
      <c r="A475" s="3">
        <v>474.0</v>
      </c>
      <c r="B475" s="3" t="b">
        <v>0</v>
      </c>
      <c r="C475" s="9"/>
      <c r="D475" s="2"/>
      <c r="E475" s="10"/>
      <c r="F475" s="8"/>
      <c r="G475" s="8"/>
      <c r="H475" s="4"/>
      <c r="I475" s="9" t="str">
        <f>IF(C475 = "Smile", H475 + 'Over View'!$B$3, IF(C475 = "Bianco" , H475 + 'Over View'!$B$4, IF(C475 = "Giallo" , H475 + 'Over View'!$B$5, IF(C475 = "Blu" , H475 + 'Over View'!$B$6, IF(C475 = "Verde" , H475 + 'Over View'!$B$7, IF(C475 = "Rosso" , H475 + 'Over View'!$B$8, "Grado Non Inserito") )))))</f>
        <v>Grado Non Inserito</v>
      </c>
      <c r="J475" s="4"/>
      <c r="K475" s="7"/>
      <c r="L475" s="2"/>
    </row>
    <row r="476">
      <c r="A476" s="3">
        <v>475.0</v>
      </c>
      <c r="B476" s="3" t="b">
        <v>0</v>
      </c>
      <c r="C476" s="9"/>
      <c r="D476" s="2"/>
      <c r="E476" s="10"/>
      <c r="F476" s="8"/>
      <c r="G476" s="8"/>
      <c r="H476" s="4"/>
      <c r="I476" s="9" t="str">
        <f>IF(C476 = "Smile", H476 + 'Over View'!$B$3, IF(C476 = "Bianco" , H476 + 'Over View'!$B$4, IF(C476 = "Giallo" , H476 + 'Over View'!$B$5, IF(C476 = "Blu" , H476 + 'Over View'!$B$6, IF(C476 = "Verde" , H476 + 'Over View'!$B$7, IF(C476 = "Rosso" , H476 + 'Over View'!$B$8, "Grado Non Inserito") )))))</f>
        <v>Grado Non Inserito</v>
      </c>
      <c r="J476" s="4"/>
      <c r="K476" s="7"/>
      <c r="L476" s="2"/>
    </row>
    <row r="477">
      <c r="A477" s="3">
        <v>476.0</v>
      </c>
      <c r="B477" s="3" t="b">
        <v>0</v>
      </c>
      <c r="C477" s="9"/>
      <c r="D477" s="2"/>
      <c r="E477" s="10"/>
      <c r="F477" s="8"/>
      <c r="G477" s="8"/>
      <c r="H477" s="4"/>
      <c r="I477" s="9" t="str">
        <f>IF(C477 = "Smile", H477 + 'Over View'!$B$3, IF(C477 = "Bianco" , H477 + 'Over View'!$B$4, IF(C477 = "Giallo" , H477 + 'Over View'!$B$5, IF(C477 = "Blu" , H477 + 'Over View'!$B$6, IF(C477 = "Verde" , H477 + 'Over View'!$B$7, IF(C477 = "Rosso" , H477 + 'Over View'!$B$8, "Grado Non Inserito") )))))</f>
        <v>Grado Non Inserito</v>
      </c>
      <c r="J477" s="4"/>
      <c r="K477" s="7"/>
      <c r="L477" s="2"/>
    </row>
    <row r="478">
      <c r="A478" s="3">
        <v>477.0</v>
      </c>
      <c r="B478" s="3" t="b">
        <v>0</v>
      </c>
      <c r="C478" s="9"/>
      <c r="D478" s="2"/>
      <c r="E478" s="10"/>
      <c r="F478" s="8"/>
      <c r="G478" s="8"/>
      <c r="H478" s="4"/>
      <c r="I478" s="9" t="str">
        <f>IF(C478 = "Smile", H478 + 'Over View'!$B$3, IF(C478 = "Bianco" , H478 + 'Over View'!$B$4, IF(C478 = "Giallo" , H478 + 'Over View'!$B$5, IF(C478 = "Blu" , H478 + 'Over View'!$B$6, IF(C478 = "Verde" , H478 + 'Over View'!$B$7, IF(C478 = "Rosso" , H478 + 'Over View'!$B$8, "Grado Non Inserito") )))))</f>
        <v>Grado Non Inserito</v>
      </c>
      <c r="J478" s="4"/>
      <c r="K478" s="7"/>
      <c r="L478" s="2"/>
    </row>
    <row r="479">
      <c r="A479" s="3">
        <v>478.0</v>
      </c>
      <c r="B479" s="3" t="b">
        <v>0</v>
      </c>
      <c r="C479" s="9"/>
      <c r="D479" s="2"/>
      <c r="E479" s="10"/>
      <c r="F479" s="8"/>
      <c r="G479" s="8"/>
      <c r="H479" s="4"/>
      <c r="I479" s="9" t="str">
        <f>IF(C479 = "Smile", H479 + 'Over View'!$B$3, IF(C479 = "Bianco" , H479 + 'Over View'!$B$4, IF(C479 = "Giallo" , H479 + 'Over View'!$B$5, IF(C479 = "Blu" , H479 + 'Over View'!$B$6, IF(C479 = "Verde" , H479 + 'Over View'!$B$7, IF(C479 = "Rosso" , H479 + 'Over View'!$B$8, "Grado Non Inserito") )))))</f>
        <v>Grado Non Inserito</v>
      </c>
      <c r="J479" s="4"/>
      <c r="K479" s="7"/>
      <c r="L479" s="2"/>
    </row>
    <row r="480">
      <c r="A480" s="3">
        <v>479.0</v>
      </c>
      <c r="B480" s="3" t="b">
        <v>0</v>
      </c>
      <c r="C480" s="9"/>
      <c r="D480" s="2"/>
      <c r="E480" s="10"/>
      <c r="F480" s="8"/>
      <c r="G480" s="8"/>
      <c r="H480" s="4"/>
      <c r="I480" s="9" t="str">
        <f>IF(C480 = "Smile", H480 + 'Over View'!$B$3, IF(C480 = "Bianco" , H480 + 'Over View'!$B$4, IF(C480 = "Giallo" , H480 + 'Over View'!$B$5, IF(C480 = "Blu" , H480 + 'Over View'!$B$6, IF(C480 = "Verde" , H480 + 'Over View'!$B$7, IF(C480 = "Rosso" , H480 + 'Over View'!$B$8, "Grado Non Inserito") )))))</f>
        <v>Grado Non Inserito</v>
      </c>
      <c r="J480" s="4"/>
      <c r="K480" s="7"/>
      <c r="L480" s="2"/>
    </row>
    <row r="481">
      <c r="A481" s="3">
        <v>480.0</v>
      </c>
      <c r="B481" s="3" t="b">
        <v>0</v>
      </c>
      <c r="C481" s="9"/>
      <c r="D481" s="2"/>
      <c r="E481" s="10"/>
      <c r="F481" s="8"/>
      <c r="G481" s="8"/>
      <c r="H481" s="4"/>
      <c r="I481" s="9" t="str">
        <f>IF(C481 = "Smile", H481 + 'Over View'!$B$3, IF(C481 = "Bianco" , H481 + 'Over View'!$B$4, IF(C481 = "Giallo" , H481 + 'Over View'!$B$5, IF(C481 = "Blu" , H481 + 'Over View'!$B$6, IF(C481 = "Verde" , H481 + 'Over View'!$B$7, IF(C481 = "Rosso" , H481 + 'Over View'!$B$8, "Grado Non Inserito") )))))</f>
        <v>Grado Non Inserito</v>
      </c>
      <c r="J481" s="4"/>
      <c r="K481" s="7"/>
      <c r="L481" s="2"/>
    </row>
    <row r="482">
      <c r="A482" s="3">
        <v>481.0</v>
      </c>
      <c r="B482" s="3" t="b">
        <v>0</v>
      </c>
      <c r="C482" s="9"/>
      <c r="D482" s="2"/>
      <c r="E482" s="10"/>
      <c r="F482" s="8"/>
      <c r="G482" s="8"/>
      <c r="H482" s="4"/>
      <c r="I482" s="9" t="str">
        <f>IF(C482 = "Smile", H482 + 'Over View'!$B$3, IF(C482 = "Bianco" , H482 + 'Over View'!$B$4, IF(C482 = "Giallo" , H482 + 'Over View'!$B$5, IF(C482 = "Blu" , H482 + 'Over View'!$B$6, IF(C482 = "Verde" , H482 + 'Over View'!$B$7, IF(C482 = "Rosso" , H482 + 'Over View'!$B$8, "Grado Non Inserito") )))))</f>
        <v>Grado Non Inserito</v>
      </c>
      <c r="J482" s="4"/>
      <c r="K482" s="7"/>
      <c r="L482" s="2"/>
    </row>
    <row r="483">
      <c r="A483" s="3">
        <v>482.0</v>
      </c>
      <c r="B483" s="3" t="b">
        <v>0</v>
      </c>
      <c r="C483" s="9"/>
      <c r="D483" s="2"/>
      <c r="E483" s="10"/>
      <c r="F483" s="8"/>
      <c r="G483" s="8"/>
      <c r="H483" s="4"/>
      <c r="I483" s="9" t="str">
        <f>IF(C483 = "Smile", H483 + 'Over View'!$B$3, IF(C483 = "Bianco" , H483 + 'Over View'!$B$4, IF(C483 = "Giallo" , H483 + 'Over View'!$B$5, IF(C483 = "Blu" , H483 + 'Over View'!$B$6, IF(C483 = "Verde" , H483 + 'Over View'!$B$7, IF(C483 = "Rosso" , H483 + 'Over View'!$B$8, "Grado Non Inserito") )))))</f>
        <v>Grado Non Inserito</v>
      </c>
      <c r="J483" s="4"/>
      <c r="K483" s="7"/>
      <c r="L483" s="2"/>
    </row>
    <row r="484">
      <c r="A484" s="3">
        <v>483.0</v>
      </c>
      <c r="B484" s="3" t="b">
        <v>0</v>
      </c>
      <c r="C484" s="9"/>
      <c r="D484" s="2"/>
      <c r="E484" s="10"/>
      <c r="F484" s="8"/>
      <c r="G484" s="8"/>
      <c r="H484" s="4"/>
      <c r="I484" s="9" t="str">
        <f>IF(C484 = "Smile", H484 + 'Over View'!$B$3, IF(C484 = "Bianco" , H484 + 'Over View'!$B$4, IF(C484 = "Giallo" , H484 + 'Over View'!$B$5, IF(C484 = "Blu" , H484 + 'Over View'!$B$6, IF(C484 = "Verde" , H484 + 'Over View'!$B$7, IF(C484 = "Rosso" , H484 + 'Over View'!$B$8, "Grado Non Inserito") )))))</f>
        <v>Grado Non Inserito</v>
      </c>
      <c r="J484" s="4"/>
      <c r="K484" s="7"/>
      <c r="L484" s="2"/>
    </row>
    <row r="485">
      <c r="A485" s="3">
        <v>484.0</v>
      </c>
      <c r="B485" s="3" t="b">
        <v>0</v>
      </c>
      <c r="C485" s="9"/>
      <c r="D485" s="2"/>
      <c r="E485" s="10"/>
      <c r="F485" s="8"/>
      <c r="G485" s="8"/>
      <c r="H485" s="4"/>
      <c r="I485" s="9" t="str">
        <f>IF(C485 = "Smile", H485 + 'Over View'!$B$3, IF(C485 = "Bianco" , H485 + 'Over View'!$B$4, IF(C485 = "Giallo" , H485 + 'Over View'!$B$5, IF(C485 = "Blu" , H485 + 'Over View'!$B$6, IF(C485 = "Verde" , H485 + 'Over View'!$B$7, IF(C485 = "Rosso" , H485 + 'Over View'!$B$8, "Grado Non Inserito") )))))</f>
        <v>Grado Non Inserito</v>
      </c>
      <c r="J485" s="4"/>
      <c r="K485" s="7"/>
      <c r="L485" s="2"/>
    </row>
    <row r="486">
      <c r="A486" s="3">
        <v>485.0</v>
      </c>
      <c r="B486" s="3" t="b">
        <v>0</v>
      </c>
      <c r="C486" s="9"/>
      <c r="D486" s="2"/>
      <c r="E486" s="10"/>
      <c r="F486" s="8"/>
      <c r="G486" s="8"/>
      <c r="H486" s="4"/>
      <c r="I486" s="9" t="str">
        <f>IF(C486 = "Smile", H486 + 'Over View'!$B$3, IF(C486 = "Bianco" , H486 + 'Over View'!$B$4, IF(C486 = "Giallo" , H486 + 'Over View'!$B$5, IF(C486 = "Blu" , H486 + 'Over View'!$B$6, IF(C486 = "Verde" , H486 + 'Over View'!$B$7, IF(C486 = "Rosso" , H486 + 'Over View'!$B$8, "Grado Non Inserito") )))))</f>
        <v>Grado Non Inserito</v>
      </c>
      <c r="J486" s="4"/>
      <c r="K486" s="7"/>
      <c r="L486" s="2"/>
    </row>
    <row r="487">
      <c r="A487" s="3">
        <v>486.0</v>
      </c>
      <c r="B487" s="3" t="b">
        <v>0</v>
      </c>
      <c r="C487" s="9"/>
      <c r="D487" s="2"/>
      <c r="E487" s="10"/>
      <c r="F487" s="8"/>
      <c r="G487" s="8"/>
      <c r="H487" s="4"/>
      <c r="I487" s="9" t="str">
        <f>IF(C487 = "Smile", H487 + 'Over View'!$B$3, IF(C487 = "Bianco" , H487 + 'Over View'!$B$4, IF(C487 = "Giallo" , H487 + 'Over View'!$B$5, IF(C487 = "Blu" , H487 + 'Over View'!$B$6, IF(C487 = "Verde" , H487 + 'Over View'!$B$7, IF(C487 = "Rosso" , H487 + 'Over View'!$B$8, "Grado Non Inserito") )))))</f>
        <v>Grado Non Inserito</v>
      </c>
      <c r="J487" s="4"/>
      <c r="K487" s="7"/>
      <c r="L487" s="2"/>
    </row>
    <row r="488">
      <c r="A488" s="3">
        <v>487.0</v>
      </c>
      <c r="B488" s="3" t="b">
        <v>0</v>
      </c>
      <c r="C488" s="9"/>
      <c r="D488" s="2"/>
      <c r="E488" s="10"/>
      <c r="F488" s="8"/>
      <c r="G488" s="8"/>
      <c r="H488" s="4"/>
      <c r="I488" s="9" t="str">
        <f>IF(C488 = "Smile", H488 + 'Over View'!$B$3, IF(C488 = "Bianco" , H488 + 'Over View'!$B$4, IF(C488 = "Giallo" , H488 + 'Over View'!$B$5, IF(C488 = "Blu" , H488 + 'Over View'!$B$6, IF(C488 = "Verde" , H488 + 'Over View'!$B$7, IF(C488 = "Rosso" , H488 + 'Over View'!$B$8, "Grado Non Inserito") )))))</f>
        <v>Grado Non Inserito</v>
      </c>
      <c r="J488" s="4"/>
      <c r="K488" s="7"/>
      <c r="L488" s="2"/>
    </row>
    <row r="489">
      <c r="A489" s="3">
        <v>488.0</v>
      </c>
      <c r="B489" s="3" t="b">
        <v>0</v>
      </c>
      <c r="C489" s="9"/>
      <c r="D489" s="2"/>
      <c r="E489" s="10"/>
      <c r="F489" s="8"/>
      <c r="G489" s="8"/>
      <c r="H489" s="4"/>
      <c r="I489" s="9" t="str">
        <f>IF(C489 = "Smile", H489 + 'Over View'!$B$3, IF(C489 = "Bianco" , H489 + 'Over View'!$B$4, IF(C489 = "Giallo" , H489 + 'Over View'!$B$5, IF(C489 = "Blu" , H489 + 'Over View'!$B$6, IF(C489 = "Verde" , H489 + 'Over View'!$B$7, IF(C489 = "Rosso" , H489 + 'Over View'!$B$8, "Grado Non Inserito") )))))</f>
        <v>Grado Non Inserito</v>
      </c>
      <c r="J489" s="4"/>
      <c r="K489" s="7"/>
      <c r="L489" s="2"/>
    </row>
    <row r="490">
      <c r="A490" s="3">
        <v>489.0</v>
      </c>
      <c r="B490" s="3" t="b">
        <v>0</v>
      </c>
      <c r="C490" s="9"/>
      <c r="D490" s="2"/>
      <c r="E490" s="10"/>
      <c r="F490" s="8"/>
      <c r="G490" s="8"/>
      <c r="H490" s="4"/>
      <c r="I490" s="9" t="str">
        <f>IF(C490 = "Smile", H490 + 'Over View'!$B$3, IF(C490 = "Bianco" , H490 + 'Over View'!$B$4, IF(C490 = "Giallo" , H490 + 'Over View'!$B$5, IF(C490 = "Blu" , H490 + 'Over View'!$B$6, IF(C490 = "Verde" , H490 + 'Over View'!$B$7, IF(C490 = "Rosso" , H490 + 'Over View'!$B$8, "Grado Non Inserito") )))))</f>
        <v>Grado Non Inserito</v>
      </c>
      <c r="J490" s="4"/>
      <c r="K490" s="7"/>
      <c r="L490" s="2"/>
    </row>
    <row r="491">
      <c r="A491" s="3">
        <v>490.0</v>
      </c>
      <c r="B491" s="3" t="b">
        <v>0</v>
      </c>
      <c r="C491" s="9"/>
      <c r="D491" s="2"/>
      <c r="E491" s="10"/>
      <c r="F491" s="8"/>
      <c r="G491" s="8"/>
      <c r="H491" s="4"/>
      <c r="I491" s="9" t="str">
        <f>IF(C491 = "Smile", H491 + 'Over View'!$B$3, IF(C491 = "Bianco" , H491 + 'Over View'!$B$4, IF(C491 = "Giallo" , H491 + 'Over View'!$B$5, IF(C491 = "Blu" , H491 + 'Over View'!$B$6, IF(C491 = "Verde" , H491 + 'Over View'!$B$7, IF(C491 = "Rosso" , H491 + 'Over View'!$B$8, "Grado Non Inserito") )))))</f>
        <v>Grado Non Inserito</v>
      </c>
      <c r="J491" s="4"/>
      <c r="K491" s="7"/>
      <c r="L491" s="2"/>
    </row>
    <row r="492">
      <c r="A492" s="3">
        <v>491.0</v>
      </c>
      <c r="B492" s="3" t="b">
        <v>0</v>
      </c>
      <c r="C492" s="9"/>
      <c r="D492" s="2"/>
      <c r="E492" s="10"/>
      <c r="F492" s="8"/>
      <c r="G492" s="8"/>
      <c r="H492" s="4"/>
      <c r="I492" s="9" t="str">
        <f>IF(C492 = "Smile", H492 + 'Over View'!$B$3, IF(C492 = "Bianco" , H492 + 'Over View'!$B$4, IF(C492 = "Giallo" , H492 + 'Over View'!$B$5, IF(C492 = "Blu" , H492 + 'Over View'!$B$6, IF(C492 = "Verde" , H492 + 'Over View'!$B$7, IF(C492 = "Rosso" , H492 + 'Over View'!$B$8, "Grado Non Inserito") )))))</f>
        <v>Grado Non Inserito</v>
      </c>
      <c r="J492" s="4"/>
      <c r="K492" s="7"/>
      <c r="L492" s="2"/>
    </row>
    <row r="493">
      <c r="A493" s="3">
        <v>492.0</v>
      </c>
      <c r="B493" s="3" t="b">
        <v>0</v>
      </c>
      <c r="C493" s="9"/>
      <c r="D493" s="2"/>
      <c r="E493" s="10"/>
      <c r="F493" s="8"/>
      <c r="G493" s="8"/>
      <c r="H493" s="4"/>
      <c r="I493" s="9" t="str">
        <f>IF(C493 = "Smile", H493 + 'Over View'!$B$3, IF(C493 = "Bianco" , H493 + 'Over View'!$B$4, IF(C493 = "Giallo" , H493 + 'Over View'!$B$5, IF(C493 = "Blu" , H493 + 'Over View'!$B$6, IF(C493 = "Verde" , H493 + 'Over View'!$B$7, IF(C493 = "Rosso" , H493 + 'Over View'!$B$8, "Grado Non Inserito") )))))</f>
        <v>Grado Non Inserito</v>
      </c>
      <c r="J493" s="4"/>
      <c r="K493" s="7"/>
      <c r="L493" s="2"/>
    </row>
    <row r="494">
      <c r="A494" s="3">
        <v>493.0</v>
      </c>
      <c r="B494" s="3" t="b">
        <v>0</v>
      </c>
      <c r="C494" s="9"/>
      <c r="D494" s="2"/>
      <c r="E494" s="10"/>
      <c r="F494" s="8"/>
      <c r="G494" s="8"/>
      <c r="H494" s="4"/>
      <c r="I494" s="9" t="str">
        <f>IF(C494 = "Smile", H494 + 'Over View'!$B$3, IF(C494 = "Bianco" , H494 + 'Over View'!$B$4, IF(C494 = "Giallo" , H494 + 'Over View'!$B$5, IF(C494 = "Blu" , H494 + 'Over View'!$B$6, IF(C494 = "Verde" , H494 + 'Over View'!$B$7, IF(C494 = "Rosso" , H494 + 'Over View'!$B$8, "Grado Non Inserito") )))))</f>
        <v>Grado Non Inserito</v>
      </c>
      <c r="J494" s="4"/>
      <c r="K494" s="7"/>
      <c r="L494" s="2"/>
    </row>
    <row r="495">
      <c r="A495" s="3">
        <v>494.0</v>
      </c>
      <c r="B495" s="3" t="b">
        <v>0</v>
      </c>
      <c r="C495" s="9"/>
      <c r="D495" s="2"/>
      <c r="E495" s="10"/>
      <c r="F495" s="8"/>
      <c r="G495" s="8"/>
      <c r="H495" s="4"/>
      <c r="I495" s="9" t="str">
        <f>IF(C495 = "Smile", H495 + 'Over View'!$B$3, IF(C495 = "Bianco" , H495 + 'Over View'!$B$4, IF(C495 = "Giallo" , H495 + 'Over View'!$B$5, IF(C495 = "Blu" , H495 + 'Over View'!$B$6, IF(C495 = "Verde" , H495 + 'Over View'!$B$7, IF(C495 = "Rosso" , H495 + 'Over View'!$B$8, "Grado Non Inserito") )))))</f>
        <v>Grado Non Inserito</v>
      </c>
      <c r="J495" s="4"/>
      <c r="K495" s="7"/>
      <c r="L495" s="2"/>
    </row>
    <row r="496">
      <c r="A496" s="3">
        <v>495.0</v>
      </c>
      <c r="B496" s="3" t="b">
        <v>0</v>
      </c>
      <c r="C496" s="9"/>
      <c r="D496" s="2"/>
      <c r="E496" s="10"/>
      <c r="F496" s="8"/>
      <c r="G496" s="8"/>
      <c r="H496" s="4"/>
      <c r="I496" s="9" t="str">
        <f>IF(C496 = "Smile", H496 + 'Over View'!$B$3, IF(C496 = "Bianco" , H496 + 'Over View'!$B$4, IF(C496 = "Giallo" , H496 + 'Over View'!$B$5, IF(C496 = "Blu" , H496 + 'Over View'!$B$6, IF(C496 = "Verde" , H496 + 'Over View'!$B$7, IF(C496 = "Rosso" , H496 + 'Over View'!$B$8, "Grado Non Inserito") )))))</f>
        <v>Grado Non Inserito</v>
      </c>
      <c r="J496" s="4"/>
      <c r="K496" s="7"/>
      <c r="L496" s="2"/>
    </row>
    <row r="497">
      <c r="A497" s="3">
        <v>496.0</v>
      </c>
      <c r="B497" s="3" t="b">
        <v>0</v>
      </c>
      <c r="C497" s="9"/>
      <c r="D497" s="2"/>
      <c r="E497" s="10"/>
      <c r="F497" s="8"/>
      <c r="G497" s="8"/>
      <c r="H497" s="4"/>
      <c r="I497" s="9" t="str">
        <f>IF(C497 = "Smile", H497 + 'Over View'!$B$3, IF(C497 = "Bianco" , H497 + 'Over View'!$B$4, IF(C497 = "Giallo" , H497 + 'Over View'!$B$5, IF(C497 = "Blu" , H497 + 'Over View'!$B$6, IF(C497 = "Verde" , H497 + 'Over View'!$B$7, IF(C497 = "Rosso" , H497 + 'Over View'!$B$8, "Grado Non Inserito") )))))</f>
        <v>Grado Non Inserito</v>
      </c>
      <c r="J497" s="4"/>
      <c r="K497" s="7"/>
      <c r="L497" s="2"/>
    </row>
    <row r="498">
      <c r="A498" s="3">
        <v>497.0</v>
      </c>
      <c r="B498" s="3" t="b">
        <v>0</v>
      </c>
      <c r="C498" s="9"/>
      <c r="D498" s="2"/>
      <c r="E498" s="10"/>
      <c r="F498" s="8"/>
      <c r="G498" s="8"/>
      <c r="H498" s="4"/>
      <c r="I498" s="9" t="str">
        <f>IF(C498 = "Smile", H498 + 'Over View'!$B$3, IF(C498 = "Bianco" , H498 + 'Over View'!$B$4, IF(C498 = "Giallo" , H498 + 'Over View'!$B$5, IF(C498 = "Blu" , H498 + 'Over View'!$B$6, IF(C498 = "Verde" , H498 + 'Over View'!$B$7, IF(C498 = "Rosso" , H498 + 'Over View'!$B$8, "Grado Non Inserito") )))))</f>
        <v>Grado Non Inserito</v>
      </c>
      <c r="J498" s="4"/>
      <c r="K498" s="7"/>
      <c r="L498" s="2"/>
    </row>
    <row r="499">
      <c r="A499" s="3">
        <v>498.0</v>
      </c>
      <c r="B499" s="3" t="b">
        <v>0</v>
      </c>
      <c r="C499" s="9"/>
      <c r="D499" s="2"/>
      <c r="E499" s="10"/>
      <c r="F499" s="8"/>
      <c r="G499" s="8"/>
      <c r="H499" s="4"/>
      <c r="I499" s="9" t="str">
        <f>IF(C499 = "Smile", H499 + 'Over View'!$B$3, IF(C499 = "Bianco" , H499 + 'Over View'!$B$4, IF(C499 = "Giallo" , H499 + 'Over View'!$B$5, IF(C499 = "Blu" , H499 + 'Over View'!$B$6, IF(C499 = "Verde" , H499 + 'Over View'!$B$7, IF(C499 = "Rosso" , H499 + 'Over View'!$B$8, "Grado Non Inserito") )))))</f>
        <v>Grado Non Inserito</v>
      </c>
      <c r="J499" s="4"/>
      <c r="K499" s="7"/>
      <c r="L499" s="2"/>
    </row>
    <row r="500">
      <c r="A500" s="3">
        <v>499.0</v>
      </c>
      <c r="B500" s="3" t="b">
        <v>0</v>
      </c>
      <c r="C500" s="9"/>
      <c r="D500" s="2"/>
      <c r="E500" s="10"/>
      <c r="F500" s="8"/>
      <c r="G500" s="8"/>
      <c r="H500" s="4"/>
      <c r="I500" s="9" t="str">
        <f>IF(C500 = "Smile", H500 + 'Over View'!$B$3, IF(C500 = "Bianco" , H500 + 'Over View'!$B$4, IF(C500 = "Giallo" , H500 + 'Over View'!$B$5, IF(C500 = "Blu" , H500 + 'Over View'!$B$6, IF(C500 = "Verde" , H500 + 'Over View'!$B$7, IF(C500 = "Rosso" , H500 + 'Over View'!$B$8, "Grado Non Inserito") )))))</f>
        <v>Grado Non Inserito</v>
      </c>
      <c r="J500" s="4"/>
      <c r="K500" s="7"/>
      <c r="L500" s="2"/>
    </row>
    <row r="501">
      <c r="A501" s="3">
        <v>500.0</v>
      </c>
      <c r="B501" s="3" t="b">
        <v>0</v>
      </c>
      <c r="C501" s="9"/>
      <c r="D501" s="2"/>
      <c r="E501" s="10"/>
      <c r="F501" s="8"/>
      <c r="G501" s="8"/>
      <c r="H501" s="4"/>
      <c r="I501" s="9" t="str">
        <f>IF(C501 = "Smile", H501 + 'Over View'!$B$3, IF(C501 = "Bianco" , H501 + 'Over View'!$B$4, IF(C501 = "Giallo" , H501 + 'Over View'!$B$5, IF(C501 = "Blu" , H501 + 'Over View'!$B$6, IF(C501 = "Verde" , H501 + 'Over View'!$B$7, IF(C501 = "Rosso" , H501 + 'Over View'!$B$8, "Grado Non Inserito") )))))</f>
        <v>Grado Non Inserito</v>
      </c>
      <c r="J501" s="4"/>
      <c r="K501" s="7"/>
      <c r="L501" s="2"/>
    </row>
    <row r="502">
      <c r="A502" s="3">
        <v>501.0</v>
      </c>
      <c r="B502" s="3" t="b">
        <v>0</v>
      </c>
      <c r="C502" s="9"/>
      <c r="D502" s="2"/>
      <c r="E502" s="10"/>
      <c r="F502" s="8"/>
      <c r="G502" s="8"/>
      <c r="H502" s="4"/>
      <c r="I502" s="9" t="str">
        <f>IF(C502 = "Smile", H502 + 'Over View'!$B$3, IF(C502 = "Bianco" , H502 + 'Over View'!$B$4, IF(C502 = "Giallo" , H502 + 'Over View'!$B$5, IF(C502 = "Blu" , H502 + 'Over View'!$B$6, IF(C502 = "Verde" , H502 + 'Over View'!$B$7, IF(C502 = "Rosso" , H502 + 'Over View'!$B$8, "Grado Non Inserito") )))))</f>
        <v>Grado Non Inserito</v>
      </c>
      <c r="J502" s="4"/>
      <c r="K502" s="7"/>
    </row>
    <row r="503">
      <c r="A503" s="3">
        <v>502.0</v>
      </c>
      <c r="B503" s="3" t="b">
        <v>0</v>
      </c>
      <c r="C503" s="9"/>
      <c r="D503" s="2"/>
      <c r="E503" s="10"/>
      <c r="F503" s="8"/>
      <c r="G503" s="8"/>
      <c r="H503" s="4"/>
      <c r="I503" s="9" t="str">
        <f>IF(C503 = "Smile", H503 + 'Over View'!$B$3, IF(C503 = "Bianco" , H503 + 'Over View'!$B$4, IF(C503 = "Giallo" , H503 + 'Over View'!$B$5, IF(C503 = "Blu" , H503 + 'Over View'!$B$6, IF(C503 = "Verde" , H503 + 'Over View'!$B$7, IF(C503 = "Rosso" , H503 + 'Over View'!$B$8, "Grado Non Inserito") )))))</f>
        <v>Grado Non Inserito</v>
      </c>
      <c r="J503" s="4"/>
      <c r="K503" s="7"/>
    </row>
    <row r="504">
      <c r="A504" s="3">
        <v>503.0</v>
      </c>
      <c r="B504" s="3" t="b">
        <v>0</v>
      </c>
      <c r="C504" s="9"/>
      <c r="D504" s="2"/>
      <c r="E504" s="10"/>
      <c r="F504" s="8"/>
      <c r="G504" s="8"/>
      <c r="H504" s="4"/>
      <c r="I504" s="9" t="str">
        <f>IF(C504 = "Smile", H504 + 'Over View'!$B$3, IF(C504 = "Bianco" , H504 + 'Over View'!$B$4, IF(C504 = "Giallo" , H504 + 'Over View'!$B$5, IF(C504 = "Blu" , H504 + 'Over View'!$B$6, IF(C504 = "Verde" , H504 + 'Over View'!$B$7, IF(C504 = "Rosso" , H504 + 'Over View'!$B$8, "Grado Non Inserito") )))))</f>
        <v>Grado Non Inserito</v>
      </c>
      <c r="J504" s="4"/>
      <c r="K504" s="7"/>
    </row>
    <row r="505">
      <c r="A505" s="3">
        <v>504.0</v>
      </c>
      <c r="B505" s="3" t="b">
        <v>0</v>
      </c>
      <c r="C505" s="9"/>
      <c r="D505" s="2"/>
      <c r="E505" s="10"/>
      <c r="F505" s="8"/>
      <c r="G505" s="8"/>
      <c r="H505" s="4"/>
      <c r="I505" s="9" t="str">
        <f>IF(C505 = "Smile", H505 + 'Over View'!$B$3, IF(C505 = "Bianco" , H505 + 'Over View'!$B$4, IF(C505 = "Giallo" , H505 + 'Over View'!$B$5, IF(C505 = "Blu" , H505 + 'Over View'!$B$6, IF(C505 = "Verde" , H505 + 'Over View'!$B$7, IF(C505 = "Rosso" , H505 + 'Over View'!$B$8, "Grado Non Inserito") )))))</f>
        <v>Grado Non Inserito</v>
      </c>
      <c r="J505" s="4"/>
      <c r="K505" s="7"/>
    </row>
    <row r="506">
      <c r="A506" s="3">
        <v>505.0</v>
      </c>
      <c r="B506" s="3" t="b">
        <v>0</v>
      </c>
      <c r="C506" s="9"/>
      <c r="D506" s="2"/>
      <c r="E506" s="10"/>
      <c r="F506" s="8"/>
      <c r="G506" s="8"/>
      <c r="H506" s="4"/>
      <c r="I506" s="9" t="str">
        <f>IF(C506 = "Smile", H506 + 'Over View'!$B$3, IF(C506 = "Bianco" , H506 + 'Over View'!$B$4, IF(C506 = "Giallo" , H506 + 'Over View'!$B$5, IF(C506 = "Blu" , H506 + 'Over View'!$B$6, IF(C506 = "Verde" , H506 + 'Over View'!$B$7, IF(C506 = "Rosso" , H506 + 'Over View'!$B$8, "Grado Non Inserito") )))))</f>
        <v>Grado Non Inserito</v>
      </c>
      <c r="J506" s="4"/>
      <c r="K506" s="7"/>
    </row>
    <row r="507">
      <c r="A507" s="3">
        <v>506.0</v>
      </c>
      <c r="B507" s="3" t="b">
        <v>0</v>
      </c>
      <c r="C507" s="9"/>
      <c r="D507" s="2"/>
      <c r="E507" s="10"/>
      <c r="F507" s="8"/>
      <c r="G507" s="8"/>
      <c r="H507" s="4"/>
      <c r="I507" s="9" t="str">
        <f>IF(C507 = "Smile", H507 + 'Over View'!$B$3, IF(C507 = "Bianco" , H507 + 'Over View'!$B$4, IF(C507 = "Giallo" , H507 + 'Over View'!$B$5, IF(C507 = "Blu" , H507 + 'Over View'!$B$6, IF(C507 = "Verde" , H507 + 'Over View'!$B$7, IF(C507 = "Rosso" , H507 + 'Over View'!$B$8, "Grado Non Inserito") )))))</f>
        <v>Grado Non Inserito</v>
      </c>
      <c r="J507" s="4"/>
      <c r="K507" s="7"/>
    </row>
    <row r="508">
      <c r="A508" s="3">
        <v>507.0</v>
      </c>
      <c r="B508" s="3" t="b">
        <v>0</v>
      </c>
      <c r="C508" s="9"/>
      <c r="D508" s="2"/>
      <c r="E508" s="10"/>
      <c r="F508" s="8"/>
      <c r="G508" s="8"/>
      <c r="H508" s="4"/>
      <c r="I508" s="9" t="str">
        <f>IF(C508 = "Smile", H508 + 'Over View'!$B$3, IF(C508 = "Bianco" , H508 + 'Over View'!$B$4, IF(C508 = "Giallo" , H508 + 'Over View'!$B$5, IF(C508 = "Blu" , H508 + 'Over View'!$B$6, IF(C508 = "Verde" , H508 + 'Over View'!$B$7, IF(C508 = "Rosso" , H508 + 'Over View'!$B$8, "Grado Non Inserito") )))))</f>
        <v>Grado Non Inserito</v>
      </c>
      <c r="J508" s="4"/>
      <c r="K508" s="7"/>
    </row>
    <row r="509">
      <c r="A509" s="3">
        <v>508.0</v>
      </c>
      <c r="B509" s="3" t="b">
        <v>0</v>
      </c>
      <c r="C509" s="9"/>
      <c r="D509" s="2"/>
      <c r="E509" s="10"/>
      <c r="F509" s="8"/>
      <c r="G509" s="8"/>
      <c r="H509" s="4"/>
      <c r="I509" s="9" t="str">
        <f>IF(C509 = "Smile", H509 + 'Over View'!$B$3, IF(C509 = "Bianco" , H509 + 'Over View'!$B$4, IF(C509 = "Giallo" , H509 + 'Over View'!$B$5, IF(C509 = "Blu" , H509 + 'Over View'!$B$6, IF(C509 = "Verde" , H509 + 'Over View'!$B$7, IF(C509 = "Rosso" , H509 + 'Over View'!$B$8, "Grado Non Inserito") )))))</f>
        <v>Grado Non Inserito</v>
      </c>
      <c r="J509" s="4"/>
      <c r="K509" s="7"/>
    </row>
    <row r="510">
      <c r="A510" s="3">
        <v>509.0</v>
      </c>
      <c r="B510" s="3" t="b">
        <v>0</v>
      </c>
      <c r="C510" s="9"/>
      <c r="D510" s="2"/>
      <c r="E510" s="10"/>
      <c r="F510" s="8"/>
      <c r="G510" s="8"/>
      <c r="H510" s="4"/>
      <c r="I510" s="9" t="str">
        <f>IF(C510 = "Smile", H510 + 'Over View'!$B$3, IF(C510 = "Bianco" , H510 + 'Over View'!$B$4, IF(C510 = "Giallo" , H510 + 'Over View'!$B$5, IF(C510 = "Blu" , H510 + 'Over View'!$B$6, IF(C510 = "Verde" , H510 + 'Over View'!$B$7, IF(C510 = "Rosso" , H510 + 'Over View'!$B$8, "Grado Non Inserito") )))))</f>
        <v>Grado Non Inserito</v>
      </c>
      <c r="J510" s="4"/>
      <c r="K510" s="7"/>
    </row>
    <row r="511">
      <c r="A511" s="3">
        <v>510.0</v>
      </c>
      <c r="B511" s="3" t="b">
        <v>0</v>
      </c>
      <c r="C511" s="9"/>
      <c r="D511" s="2"/>
      <c r="E511" s="10"/>
      <c r="F511" s="8"/>
      <c r="G511" s="8"/>
      <c r="H511" s="4"/>
      <c r="I511" s="9" t="str">
        <f>IF(C511 = "Smile", H511 + 'Over View'!$B$3, IF(C511 = "Bianco" , H511 + 'Over View'!$B$4, IF(C511 = "Giallo" , H511 + 'Over View'!$B$5, IF(C511 = "Blu" , H511 + 'Over View'!$B$6, IF(C511 = "Verde" , H511 + 'Over View'!$B$7, IF(C511 = "Rosso" , H511 + 'Over View'!$B$8, "Grado Non Inserito") )))))</f>
        <v>Grado Non Inserito</v>
      </c>
      <c r="J511" s="4"/>
      <c r="K511" s="7"/>
    </row>
    <row r="512">
      <c r="A512" s="3">
        <v>511.0</v>
      </c>
      <c r="B512" s="3" t="b">
        <v>0</v>
      </c>
      <c r="C512" s="9"/>
      <c r="D512" s="2"/>
      <c r="E512" s="10"/>
      <c r="F512" s="8"/>
      <c r="G512" s="8"/>
      <c r="H512" s="4"/>
      <c r="I512" s="9" t="str">
        <f>IF(C512 = "Smile", H512 + 'Over View'!$B$3, IF(C512 = "Bianco" , H512 + 'Over View'!$B$4, IF(C512 = "Giallo" , H512 + 'Over View'!$B$5, IF(C512 = "Blu" , H512 + 'Over View'!$B$6, IF(C512 = "Verde" , H512 + 'Over View'!$B$7, IF(C512 = "Rosso" , H512 + 'Over View'!$B$8, "Grado Non Inserito") )))))</f>
        <v>Grado Non Inserito</v>
      </c>
      <c r="J512" s="4"/>
      <c r="K512" s="7"/>
    </row>
    <row r="513">
      <c r="A513" s="3">
        <v>512.0</v>
      </c>
      <c r="B513" s="3" t="b">
        <v>0</v>
      </c>
      <c r="C513" s="9"/>
      <c r="D513" s="2"/>
      <c r="E513" s="10"/>
      <c r="F513" s="8"/>
      <c r="G513" s="8"/>
      <c r="H513" s="4"/>
      <c r="I513" s="9" t="str">
        <f>IF(C513 = "Smile", H513 + 'Over View'!$B$3, IF(C513 = "Bianco" , H513 + 'Over View'!$B$4, IF(C513 = "Giallo" , H513 + 'Over View'!$B$5, IF(C513 = "Blu" , H513 + 'Over View'!$B$6, IF(C513 = "Verde" , H513 + 'Over View'!$B$7, IF(C513 = "Rosso" , H513 + 'Over View'!$B$8, "Grado Non Inserito") )))))</f>
        <v>Grado Non Inserito</v>
      </c>
      <c r="J513" s="4"/>
      <c r="K513" s="7"/>
    </row>
    <row r="514">
      <c r="A514" s="3">
        <v>513.0</v>
      </c>
      <c r="B514" s="3" t="b">
        <v>0</v>
      </c>
      <c r="C514" s="9"/>
      <c r="D514" s="2"/>
      <c r="E514" s="10"/>
      <c r="F514" s="8"/>
      <c r="G514" s="8"/>
      <c r="H514" s="4"/>
      <c r="I514" s="9" t="str">
        <f>IF(C514 = "Smile", H514 + 'Over View'!$B$3, IF(C514 = "Bianco" , H514 + 'Over View'!$B$4, IF(C514 = "Giallo" , H514 + 'Over View'!$B$5, IF(C514 = "Blu" , H514 + 'Over View'!$B$6, IF(C514 = "Verde" , H514 + 'Over View'!$B$7, IF(C514 = "Rosso" , H514 + 'Over View'!$B$8, "Grado Non Inserito") )))))</f>
        <v>Grado Non Inserito</v>
      </c>
      <c r="J514" s="4"/>
      <c r="K514" s="7"/>
    </row>
    <row r="515">
      <c r="A515" s="3">
        <v>514.0</v>
      </c>
      <c r="B515" s="3" t="b">
        <v>0</v>
      </c>
      <c r="C515" s="9"/>
      <c r="D515" s="2"/>
      <c r="E515" s="10"/>
      <c r="F515" s="8"/>
      <c r="G515" s="8"/>
      <c r="H515" s="4"/>
      <c r="I515" s="9" t="str">
        <f>IF(C515 = "Smile", H515 + 'Over View'!$B$3, IF(C515 = "Bianco" , H515 + 'Over View'!$B$4, IF(C515 = "Giallo" , H515 + 'Over View'!$B$5, IF(C515 = "Blu" , H515 + 'Over View'!$B$6, IF(C515 = "Verde" , H515 + 'Over View'!$B$7, IF(C515 = "Rosso" , H515 + 'Over View'!$B$8, "Grado Non Inserito") )))))</f>
        <v>Grado Non Inserito</v>
      </c>
      <c r="J515" s="4"/>
      <c r="K515" s="7"/>
    </row>
    <row r="516">
      <c r="A516" s="3">
        <v>515.0</v>
      </c>
      <c r="B516" s="3" t="b">
        <v>0</v>
      </c>
      <c r="C516" s="9"/>
      <c r="D516" s="2"/>
      <c r="E516" s="10"/>
      <c r="F516" s="8"/>
      <c r="G516" s="8"/>
      <c r="H516" s="4"/>
      <c r="I516" s="9" t="str">
        <f>IF(C516 = "Smile", H516 + 'Over View'!$B$3, IF(C516 = "Bianco" , H516 + 'Over View'!$B$4, IF(C516 = "Giallo" , H516 + 'Over View'!$B$5, IF(C516 = "Blu" , H516 + 'Over View'!$B$6, IF(C516 = "Verde" , H516 + 'Over View'!$B$7, IF(C516 = "Rosso" , H516 + 'Over View'!$B$8, "Grado Non Inserito") )))))</f>
        <v>Grado Non Inserito</v>
      </c>
      <c r="J516" s="4"/>
      <c r="K516" s="7"/>
    </row>
    <row r="517">
      <c r="A517" s="3">
        <v>516.0</v>
      </c>
      <c r="B517" s="3" t="b">
        <v>0</v>
      </c>
      <c r="C517" s="9"/>
      <c r="D517" s="2"/>
      <c r="E517" s="10"/>
      <c r="F517" s="8"/>
      <c r="G517" s="8"/>
      <c r="H517" s="4"/>
      <c r="I517" s="9" t="str">
        <f>IF(C517 = "Smile", H517 + 'Over View'!$B$3, IF(C517 = "Bianco" , H517 + 'Over View'!$B$4, IF(C517 = "Giallo" , H517 + 'Over View'!$B$5, IF(C517 = "Blu" , H517 + 'Over View'!$B$6, IF(C517 = "Verde" , H517 + 'Over View'!$B$7, IF(C517 = "Rosso" , H517 + 'Over View'!$B$8, "Grado Non Inserito") )))))</f>
        <v>Grado Non Inserito</v>
      </c>
      <c r="J517" s="4"/>
      <c r="K517" s="7"/>
    </row>
    <row r="518">
      <c r="A518" s="3">
        <v>517.0</v>
      </c>
      <c r="B518" s="3" t="b">
        <v>0</v>
      </c>
      <c r="C518" s="9"/>
      <c r="D518" s="2"/>
      <c r="E518" s="10"/>
      <c r="F518" s="8"/>
      <c r="G518" s="8"/>
      <c r="H518" s="4"/>
      <c r="I518" s="9" t="str">
        <f>IF(C518 = "Smile", H518 + 'Over View'!$B$3, IF(C518 = "Bianco" , H518 + 'Over View'!$B$4, IF(C518 = "Giallo" , H518 + 'Over View'!$B$5, IF(C518 = "Blu" , H518 + 'Over View'!$B$6, IF(C518 = "Verde" , H518 + 'Over View'!$B$7, IF(C518 = "Rosso" , H518 + 'Over View'!$B$8, "Grado Non Inserito") )))))</f>
        <v>Grado Non Inserito</v>
      </c>
      <c r="J518" s="4"/>
      <c r="K518" s="7"/>
    </row>
    <row r="519">
      <c r="A519" s="3">
        <v>518.0</v>
      </c>
      <c r="B519" s="3" t="b">
        <v>0</v>
      </c>
      <c r="C519" s="9"/>
      <c r="D519" s="2"/>
      <c r="E519" s="10"/>
      <c r="F519" s="8"/>
      <c r="G519" s="8"/>
      <c r="H519" s="4"/>
      <c r="I519" s="9" t="str">
        <f>IF(C519 = "Smile", H519 + 'Over View'!$B$3, IF(C519 = "Bianco" , H519 + 'Over View'!$B$4, IF(C519 = "Giallo" , H519 + 'Over View'!$B$5, IF(C519 = "Blu" , H519 + 'Over View'!$B$6, IF(C519 = "Verde" , H519 + 'Over View'!$B$7, IF(C519 = "Rosso" , H519 + 'Over View'!$B$8, "Grado Non Inserito") )))))</f>
        <v>Grado Non Inserito</v>
      </c>
      <c r="J519" s="4"/>
      <c r="K519" s="7"/>
    </row>
    <row r="520">
      <c r="A520" s="3">
        <v>519.0</v>
      </c>
      <c r="B520" s="3" t="b">
        <v>0</v>
      </c>
      <c r="C520" s="9"/>
      <c r="D520" s="2"/>
      <c r="E520" s="10"/>
      <c r="F520" s="8"/>
      <c r="G520" s="8"/>
      <c r="H520" s="4"/>
      <c r="I520" s="9" t="str">
        <f>IF(C520 = "Smile", H520 + 'Over View'!$B$3, IF(C520 = "Bianco" , H520 + 'Over View'!$B$4, IF(C520 = "Giallo" , H520 + 'Over View'!$B$5, IF(C520 = "Blu" , H520 + 'Over View'!$B$6, IF(C520 = "Verde" , H520 + 'Over View'!$B$7, IF(C520 = "Rosso" , H520 + 'Over View'!$B$8, "Grado Non Inserito") )))))</f>
        <v>Grado Non Inserito</v>
      </c>
      <c r="J520" s="4"/>
      <c r="K520" s="7"/>
    </row>
    <row r="521">
      <c r="A521" s="3">
        <v>520.0</v>
      </c>
      <c r="B521" s="3" t="b">
        <v>0</v>
      </c>
      <c r="C521" s="9"/>
      <c r="D521" s="2"/>
      <c r="E521" s="10"/>
      <c r="F521" s="8"/>
      <c r="G521" s="8"/>
      <c r="H521" s="4"/>
      <c r="I521" s="9" t="str">
        <f>IF(C521 = "Smile", H521 + 'Over View'!$B$3, IF(C521 = "Bianco" , H521 + 'Over View'!$B$4, IF(C521 = "Giallo" , H521 + 'Over View'!$B$5, IF(C521 = "Blu" , H521 + 'Over View'!$B$6, IF(C521 = "Verde" , H521 + 'Over View'!$B$7, IF(C521 = "Rosso" , H521 + 'Over View'!$B$8, "Grado Non Inserito") )))))</f>
        <v>Grado Non Inserito</v>
      </c>
      <c r="J521" s="4"/>
      <c r="K521" s="7"/>
    </row>
    <row r="522">
      <c r="A522" s="3">
        <v>521.0</v>
      </c>
      <c r="B522" s="3" t="b">
        <v>0</v>
      </c>
      <c r="C522" s="9"/>
      <c r="D522" s="2"/>
      <c r="E522" s="10"/>
      <c r="F522" s="8"/>
      <c r="G522" s="8"/>
      <c r="H522" s="4"/>
      <c r="I522" s="9" t="str">
        <f>IF(C522 = "Smile", H522 + 'Over View'!$B$3, IF(C522 = "Bianco" , H522 + 'Over View'!$B$4, IF(C522 = "Giallo" , H522 + 'Over View'!$B$5, IF(C522 = "Blu" , H522 + 'Over View'!$B$6, IF(C522 = "Verde" , H522 + 'Over View'!$B$7, IF(C522 = "Rosso" , H522 + 'Over View'!$B$8, "Grado Non Inserito") )))))</f>
        <v>Grado Non Inserito</v>
      </c>
      <c r="J522" s="4"/>
      <c r="K522" s="7"/>
    </row>
    <row r="523">
      <c r="A523" s="3">
        <v>522.0</v>
      </c>
      <c r="B523" s="3" t="b">
        <v>0</v>
      </c>
      <c r="C523" s="9"/>
      <c r="D523" s="2"/>
      <c r="E523" s="10"/>
      <c r="F523" s="8"/>
      <c r="G523" s="8"/>
      <c r="H523" s="4"/>
      <c r="I523" s="9" t="str">
        <f>IF(C523 = "Smile", H523 + 'Over View'!$B$3, IF(C523 = "Bianco" , H523 + 'Over View'!$B$4, IF(C523 = "Giallo" , H523 + 'Over View'!$B$5, IF(C523 = "Blu" , H523 + 'Over View'!$B$6, IF(C523 = "Verde" , H523 + 'Over View'!$B$7, IF(C523 = "Rosso" , H523 + 'Over View'!$B$8, "Grado Non Inserito") )))))</f>
        <v>Grado Non Inserito</v>
      </c>
      <c r="J523" s="4"/>
      <c r="K523" s="7"/>
    </row>
    <row r="524">
      <c r="A524" s="3">
        <v>523.0</v>
      </c>
      <c r="B524" s="3" t="b">
        <v>0</v>
      </c>
      <c r="C524" s="9"/>
      <c r="D524" s="2"/>
      <c r="E524" s="10"/>
      <c r="F524" s="8"/>
      <c r="G524" s="8"/>
      <c r="H524" s="4"/>
      <c r="I524" s="9" t="str">
        <f>IF(C524 = "Smile", H524 + 'Over View'!$B$3, IF(C524 = "Bianco" , H524 + 'Over View'!$B$4, IF(C524 = "Giallo" , H524 + 'Over View'!$B$5, IF(C524 = "Blu" , H524 + 'Over View'!$B$6, IF(C524 = "Verde" , H524 + 'Over View'!$B$7, IF(C524 = "Rosso" , H524 + 'Over View'!$B$8, "Grado Non Inserito") )))))</f>
        <v>Grado Non Inserito</v>
      </c>
      <c r="J524" s="4"/>
      <c r="K524" s="7"/>
    </row>
    <row r="525">
      <c r="A525" s="3">
        <v>524.0</v>
      </c>
      <c r="B525" s="3" t="b">
        <v>0</v>
      </c>
      <c r="C525" s="9"/>
      <c r="D525" s="2"/>
      <c r="E525" s="10"/>
      <c r="F525" s="8"/>
      <c r="G525" s="8"/>
      <c r="H525" s="4"/>
      <c r="I525" s="9" t="str">
        <f>IF(C525 = "Smile", H525 + 'Over View'!$B$3, IF(C525 = "Bianco" , H525 + 'Over View'!$B$4, IF(C525 = "Giallo" , H525 + 'Over View'!$B$5, IF(C525 = "Blu" , H525 + 'Over View'!$B$6, IF(C525 = "Verde" , H525 + 'Over View'!$B$7, IF(C525 = "Rosso" , H525 + 'Over View'!$B$8, "Grado Non Inserito") )))))</f>
        <v>Grado Non Inserito</v>
      </c>
      <c r="J525" s="4"/>
      <c r="K525" s="7"/>
    </row>
    <row r="526">
      <c r="A526" s="3">
        <v>525.0</v>
      </c>
      <c r="B526" s="3" t="b">
        <v>0</v>
      </c>
      <c r="C526" s="9"/>
      <c r="D526" s="2"/>
      <c r="E526" s="10"/>
      <c r="F526" s="8"/>
      <c r="G526" s="8"/>
      <c r="H526" s="4"/>
      <c r="I526" s="9" t="str">
        <f>IF(C526 = "Smile", H526 + 'Over View'!$B$3, IF(C526 = "Bianco" , H526 + 'Over View'!$B$4, IF(C526 = "Giallo" , H526 + 'Over View'!$B$5, IF(C526 = "Blu" , H526 + 'Over View'!$B$6, IF(C526 = "Verde" , H526 + 'Over View'!$B$7, IF(C526 = "Rosso" , H526 + 'Over View'!$B$8, "Grado Non Inserito") )))))</f>
        <v>Grado Non Inserito</v>
      </c>
      <c r="J526" s="4"/>
      <c r="K526" s="7"/>
    </row>
    <row r="527">
      <c r="B527" s="11" t="b">
        <v>0</v>
      </c>
      <c r="C527" s="12"/>
      <c r="D527" s="12"/>
    </row>
    <row r="528">
      <c r="B528" s="11" t="b">
        <v>0</v>
      </c>
      <c r="C528" s="12"/>
      <c r="D528" s="12"/>
    </row>
    <row r="529">
      <c r="B529" s="11" t="b">
        <v>0</v>
      </c>
      <c r="C529" s="12"/>
      <c r="D529" s="12"/>
    </row>
    <row r="530">
      <c r="B530" s="11" t="b">
        <v>0</v>
      </c>
      <c r="C530" s="12"/>
      <c r="D530" s="12"/>
    </row>
    <row r="531">
      <c r="B531" s="11" t="b">
        <v>0</v>
      </c>
      <c r="C531" s="12"/>
      <c r="D531" s="12"/>
    </row>
    <row r="532">
      <c r="B532" s="11" t="b">
        <v>0</v>
      </c>
      <c r="C532" s="12"/>
      <c r="D532" s="12"/>
    </row>
    <row r="533">
      <c r="B533" s="11" t="b">
        <v>0</v>
      </c>
      <c r="C533" s="12"/>
      <c r="D533" s="12"/>
    </row>
    <row r="534">
      <c r="B534" s="11" t="b">
        <v>0</v>
      </c>
      <c r="C534" s="12"/>
      <c r="D534" s="12"/>
    </row>
    <row r="535">
      <c r="B535" s="11" t="b">
        <v>0</v>
      </c>
      <c r="C535" s="12"/>
      <c r="D535" s="12"/>
    </row>
    <row r="536">
      <c r="B536" s="11" t="b">
        <v>0</v>
      </c>
      <c r="C536" s="12"/>
      <c r="D536" s="12"/>
    </row>
    <row r="537">
      <c r="B537" s="11" t="b">
        <v>0</v>
      </c>
      <c r="C537" s="12"/>
      <c r="D537" s="12"/>
    </row>
    <row r="538">
      <c r="B538" s="11" t="b">
        <v>0</v>
      </c>
      <c r="C538" s="12"/>
      <c r="D538" s="12"/>
    </row>
    <row r="539">
      <c r="B539" s="11" t="b">
        <v>0</v>
      </c>
      <c r="C539" s="12"/>
      <c r="D539" s="12"/>
    </row>
    <row r="540">
      <c r="B540" s="11" t="b">
        <v>0</v>
      </c>
      <c r="C540" s="12"/>
      <c r="D540" s="12"/>
    </row>
    <row r="541">
      <c r="B541" s="11" t="b">
        <v>0</v>
      </c>
      <c r="C541" s="12"/>
      <c r="D541" s="12"/>
    </row>
    <row r="542">
      <c r="B542" s="11" t="b">
        <v>0</v>
      </c>
      <c r="C542" s="12"/>
      <c r="D542" s="12"/>
    </row>
    <row r="543">
      <c r="B543" s="11" t="b">
        <v>0</v>
      </c>
      <c r="C543" s="12"/>
      <c r="D543" s="12"/>
    </row>
    <row r="544">
      <c r="B544" s="11" t="b">
        <v>0</v>
      </c>
      <c r="C544" s="12"/>
      <c r="D544" s="12"/>
    </row>
    <row r="545">
      <c r="B545" s="11" t="b">
        <v>0</v>
      </c>
      <c r="C545" s="12"/>
      <c r="D545" s="12"/>
    </row>
    <row r="546">
      <c r="B546" s="11" t="b">
        <v>0</v>
      </c>
      <c r="C546" s="12"/>
      <c r="D546" s="12"/>
    </row>
    <row r="547">
      <c r="B547" s="11" t="b">
        <v>0</v>
      </c>
      <c r="C547" s="12"/>
      <c r="D547" s="12"/>
    </row>
    <row r="548">
      <c r="B548" s="11" t="b">
        <v>0</v>
      </c>
      <c r="C548" s="12"/>
      <c r="D548" s="12"/>
    </row>
    <row r="549">
      <c r="B549" s="11" t="b">
        <v>0</v>
      </c>
      <c r="C549" s="12"/>
      <c r="D549" s="12"/>
    </row>
    <row r="550">
      <c r="B550" s="11" t="b">
        <v>0</v>
      </c>
      <c r="C550" s="12"/>
      <c r="D550" s="12"/>
    </row>
    <row r="551">
      <c r="B551" s="11" t="b">
        <v>0</v>
      </c>
      <c r="C551" s="12"/>
      <c r="D551" s="12"/>
    </row>
    <row r="552">
      <c r="B552" s="11" t="b">
        <v>0</v>
      </c>
      <c r="C552" s="12"/>
      <c r="D552" s="12"/>
    </row>
    <row r="553">
      <c r="B553" s="11" t="b">
        <v>0</v>
      </c>
      <c r="C553" s="12"/>
      <c r="D553" s="12"/>
    </row>
    <row r="554">
      <c r="B554" s="11" t="b">
        <v>0</v>
      </c>
      <c r="C554" s="12"/>
      <c r="D554" s="12"/>
    </row>
    <row r="555">
      <c r="B555" s="11" t="b">
        <v>0</v>
      </c>
      <c r="C555" s="12"/>
      <c r="D555" s="12"/>
    </row>
    <row r="556">
      <c r="B556" s="11" t="b">
        <v>0</v>
      </c>
      <c r="C556" s="12"/>
      <c r="D556" s="12"/>
    </row>
    <row r="557">
      <c r="B557" s="11" t="b">
        <v>0</v>
      </c>
      <c r="C557" s="12"/>
      <c r="D557" s="12"/>
    </row>
    <row r="558">
      <c r="B558" s="11" t="b">
        <v>0</v>
      </c>
      <c r="C558" s="12"/>
      <c r="D558" s="12"/>
    </row>
    <row r="559">
      <c r="B559" s="11" t="b">
        <v>0</v>
      </c>
      <c r="C559" s="12"/>
      <c r="D559" s="12"/>
    </row>
    <row r="560">
      <c r="B560" s="11" t="b">
        <v>0</v>
      </c>
      <c r="C560" s="12"/>
      <c r="D560" s="12"/>
    </row>
    <row r="561">
      <c r="B561" s="11" t="b">
        <v>0</v>
      </c>
      <c r="C561" s="12"/>
      <c r="D561" s="12"/>
    </row>
    <row r="562">
      <c r="B562" s="11" t="b">
        <v>0</v>
      </c>
      <c r="C562" s="12"/>
      <c r="D562" s="12"/>
    </row>
    <row r="563">
      <c r="B563" s="11" t="b">
        <v>0</v>
      </c>
      <c r="C563" s="12"/>
      <c r="D563" s="12"/>
    </row>
    <row r="564">
      <c r="B564" s="11" t="b">
        <v>0</v>
      </c>
      <c r="C564" s="12"/>
      <c r="D564" s="12"/>
    </row>
    <row r="565">
      <c r="B565" s="11" t="b">
        <v>0</v>
      </c>
      <c r="C565" s="12"/>
      <c r="D565" s="12"/>
    </row>
    <row r="566">
      <c r="B566" s="11" t="b">
        <v>0</v>
      </c>
      <c r="C566" s="12"/>
      <c r="D566" s="12"/>
    </row>
    <row r="567">
      <c r="B567" s="11" t="b">
        <v>0</v>
      </c>
      <c r="C567" s="12"/>
      <c r="D567" s="12"/>
    </row>
    <row r="568">
      <c r="B568" s="11" t="b">
        <v>0</v>
      </c>
      <c r="C568" s="12"/>
      <c r="D568" s="12"/>
    </row>
    <row r="569">
      <c r="B569" s="11" t="b">
        <v>0</v>
      </c>
      <c r="C569" s="12"/>
      <c r="D569" s="12"/>
    </row>
    <row r="570">
      <c r="B570" s="11" t="b">
        <v>0</v>
      </c>
      <c r="C570" s="12"/>
      <c r="D570" s="12"/>
    </row>
    <row r="571">
      <c r="B571" s="11" t="b">
        <v>0</v>
      </c>
      <c r="C571" s="12"/>
      <c r="D571" s="12"/>
    </row>
    <row r="572">
      <c r="B572" s="11" t="b">
        <v>0</v>
      </c>
      <c r="C572" s="12"/>
      <c r="D572" s="12"/>
    </row>
    <row r="573">
      <c r="B573" s="11" t="b">
        <v>0</v>
      </c>
      <c r="C573" s="12"/>
      <c r="D573" s="12"/>
    </row>
    <row r="574">
      <c r="B574" s="11" t="b">
        <v>0</v>
      </c>
      <c r="C574" s="12"/>
      <c r="D574" s="12"/>
    </row>
    <row r="575">
      <c r="B575" s="11" t="b">
        <v>0</v>
      </c>
      <c r="C575" s="12"/>
      <c r="D575" s="12"/>
    </row>
    <row r="576">
      <c r="B576" s="11" t="b">
        <v>0</v>
      </c>
      <c r="C576" s="12"/>
      <c r="D576" s="12"/>
    </row>
    <row r="577">
      <c r="B577" s="11" t="b">
        <v>0</v>
      </c>
      <c r="C577" s="12"/>
      <c r="D577" s="12"/>
    </row>
    <row r="578">
      <c r="B578" s="11" t="b">
        <v>0</v>
      </c>
      <c r="C578" s="12"/>
      <c r="D578" s="12"/>
    </row>
    <row r="579">
      <c r="B579" s="11" t="b">
        <v>0</v>
      </c>
      <c r="C579" s="12"/>
      <c r="D579" s="12"/>
    </row>
    <row r="580">
      <c r="B580" s="11" t="b">
        <v>0</v>
      </c>
      <c r="C580" s="12"/>
      <c r="D580" s="12"/>
    </row>
    <row r="581">
      <c r="B581" s="11" t="b">
        <v>0</v>
      </c>
      <c r="C581" s="12"/>
      <c r="D581" s="12"/>
    </row>
    <row r="582">
      <c r="B582" s="11" t="b">
        <v>0</v>
      </c>
      <c r="C582" s="12"/>
      <c r="D582" s="12"/>
    </row>
    <row r="583">
      <c r="B583" s="11" t="b">
        <v>0</v>
      </c>
      <c r="C583" s="12"/>
      <c r="D583" s="12"/>
    </row>
    <row r="584">
      <c r="B584" s="11" t="b">
        <v>0</v>
      </c>
      <c r="C584" s="12"/>
      <c r="D584" s="12"/>
    </row>
    <row r="585">
      <c r="B585" s="11" t="b">
        <v>0</v>
      </c>
      <c r="C585" s="12"/>
      <c r="D585" s="12"/>
    </row>
    <row r="586">
      <c r="B586" s="11" t="b">
        <v>0</v>
      </c>
      <c r="C586" s="12"/>
      <c r="D586" s="12"/>
    </row>
    <row r="587">
      <c r="B587" s="11" t="b">
        <v>0</v>
      </c>
      <c r="C587" s="12"/>
      <c r="D587" s="12"/>
    </row>
    <row r="588">
      <c r="B588" s="11" t="b">
        <v>0</v>
      </c>
      <c r="C588" s="12"/>
      <c r="D588" s="12"/>
    </row>
    <row r="589">
      <c r="B589" s="11" t="b">
        <v>0</v>
      </c>
      <c r="C589" s="12"/>
      <c r="D589" s="12"/>
    </row>
    <row r="590">
      <c r="B590" s="11" t="b">
        <v>0</v>
      </c>
      <c r="C590" s="12"/>
      <c r="D590" s="12"/>
    </row>
    <row r="591">
      <c r="B591" s="11" t="b">
        <v>0</v>
      </c>
      <c r="C591" s="12"/>
      <c r="D591" s="12"/>
    </row>
    <row r="592">
      <c r="B592" s="11" t="b">
        <v>0</v>
      </c>
      <c r="C592" s="12"/>
      <c r="D592" s="12"/>
    </row>
    <row r="593">
      <c r="B593" s="11" t="b">
        <v>0</v>
      </c>
      <c r="C593" s="12"/>
      <c r="D593" s="12"/>
    </row>
    <row r="594">
      <c r="B594" s="11" t="b">
        <v>0</v>
      </c>
      <c r="C594" s="12"/>
      <c r="D594" s="12"/>
    </row>
    <row r="595">
      <c r="B595" s="11" t="b">
        <v>0</v>
      </c>
      <c r="C595" s="12"/>
      <c r="D595" s="12"/>
    </row>
    <row r="596">
      <c r="B596" s="11" t="b">
        <v>0</v>
      </c>
      <c r="C596" s="12"/>
      <c r="D596" s="12"/>
    </row>
    <row r="597">
      <c r="B597" s="11" t="b">
        <v>0</v>
      </c>
      <c r="C597" s="12"/>
      <c r="D597" s="12"/>
    </row>
    <row r="598">
      <c r="B598" s="11" t="b">
        <v>0</v>
      </c>
      <c r="C598" s="12"/>
      <c r="D598" s="12"/>
    </row>
    <row r="599">
      <c r="B599" s="11" t="b">
        <v>0</v>
      </c>
      <c r="C599" s="12"/>
      <c r="D599" s="12"/>
    </row>
    <row r="600">
      <c r="B600" s="11" t="b">
        <v>0</v>
      </c>
      <c r="C600" s="12"/>
      <c r="D600" s="12"/>
    </row>
    <row r="601">
      <c r="B601" s="11" t="b">
        <v>0</v>
      </c>
      <c r="C601" s="12"/>
      <c r="D601" s="12"/>
    </row>
    <row r="602">
      <c r="B602" s="11" t="b">
        <v>0</v>
      </c>
      <c r="C602" s="12"/>
      <c r="D602" s="12"/>
    </row>
    <row r="603">
      <c r="B603" s="11" t="b">
        <v>0</v>
      </c>
      <c r="C603" s="12"/>
      <c r="D603" s="12"/>
    </row>
    <row r="604">
      <c r="B604" s="11" t="b">
        <v>0</v>
      </c>
      <c r="C604" s="12"/>
      <c r="D604" s="12"/>
    </row>
    <row r="605">
      <c r="B605" s="11" t="b">
        <v>0</v>
      </c>
      <c r="C605" s="12"/>
      <c r="D605" s="12"/>
    </row>
    <row r="606">
      <c r="B606" s="11" t="b">
        <v>0</v>
      </c>
      <c r="C606" s="12"/>
      <c r="D606" s="12"/>
    </row>
    <row r="607">
      <c r="B607" s="11" t="b">
        <v>0</v>
      </c>
      <c r="C607" s="12"/>
      <c r="D607" s="12"/>
    </row>
    <row r="608">
      <c r="B608" s="11" t="b">
        <v>0</v>
      </c>
      <c r="C608" s="12"/>
      <c r="D608" s="12"/>
    </row>
    <row r="609">
      <c r="B609" s="11" t="b">
        <v>0</v>
      </c>
      <c r="C609" s="12"/>
      <c r="D609" s="12"/>
    </row>
    <row r="610">
      <c r="B610" s="11" t="b">
        <v>0</v>
      </c>
      <c r="C610" s="12"/>
      <c r="D610" s="12"/>
    </row>
    <row r="611">
      <c r="B611" s="11" t="b">
        <v>0</v>
      </c>
      <c r="C611" s="12"/>
      <c r="D611" s="12"/>
    </row>
    <row r="612">
      <c r="B612" s="11" t="b">
        <v>0</v>
      </c>
      <c r="C612" s="12"/>
      <c r="D612" s="12"/>
    </row>
    <row r="613">
      <c r="B613" s="11" t="b">
        <v>0</v>
      </c>
      <c r="C613" s="12"/>
      <c r="D613" s="12"/>
    </row>
    <row r="614">
      <c r="B614" s="11" t="b">
        <v>0</v>
      </c>
      <c r="C614" s="12"/>
      <c r="D614" s="12"/>
    </row>
    <row r="615">
      <c r="B615" s="11" t="b">
        <v>0</v>
      </c>
      <c r="C615" s="12"/>
      <c r="D615" s="12"/>
    </row>
    <row r="616">
      <c r="B616" s="11" t="b">
        <v>0</v>
      </c>
      <c r="C616" s="12"/>
      <c r="D616" s="12"/>
    </row>
    <row r="617">
      <c r="B617" s="11" t="b">
        <v>0</v>
      </c>
      <c r="C617" s="12"/>
      <c r="D617" s="12"/>
    </row>
    <row r="618">
      <c r="B618" s="11" t="b">
        <v>0</v>
      </c>
      <c r="C618" s="12"/>
      <c r="D618" s="12"/>
    </row>
    <row r="619">
      <c r="B619" s="11" t="b">
        <v>0</v>
      </c>
      <c r="C619" s="12"/>
      <c r="D619" s="12"/>
    </row>
    <row r="620">
      <c r="B620" s="11" t="b">
        <v>0</v>
      </c>
      <c r="C620" s="12"/>
      <c r="D620" s="12"/>
    </row>
    <row r="621">
      <c r="B621" s="11" t="b">
        <v>0</v>
      </c>
      <c r="C621" s="12"/>
      <c r="D621" s="12"/>
    </row>
    <row r="622">
      <c r="B622" s="11" t="b">
        <v>0</v>
      </c>
      <c r="C622" s="12"/>
      <c r="D622" s="12"/>
    </row>
    <row r="623">
      <c r="B623" s="11" t="b">
        <v>0</v>
      </c>
      <c r="C623" s="12"/>
      <c r="D623" s="12"/>
    </row>
    <row r="624">
      <c r="B624" s="11" t="b">
        <v>0</v>
      </c>
      <c r="C624" s="12"/>
      <c r="D624" s="12"/>
    </row>
    <row r="625">
      <c r="B625" s="11" t="b">
        <v>0</v>
      </c>
      <c r="C625" s="12"/>
      <c r="D625" s="12"/>
    </row>
    <row r="626">
      <c r="B626" s="11" t="b">
        <v>0</v>
      </c>
      <c r="C626" s="12"/>
      <c r="D626" s="12"/>
    </row>
    <row r="627">
      <c r="B627" s="11" t="b">
        <v>0</v>
      </c>
      <c r="C627" s="12"/>
      <c r="D627" s="12"/>
    </row>
    <row r="628">
      <c r="B628" s="11" t="b">
        <v>0</v>
      </c>
      <c r="C628" s="12"/>
      <c r="D628" s="12"/>
    </row>
    <row r="629">
      <c r="B629" s="11" t="b">
        <v>0</v>
      </c>
      <c r="C629" s="12"/>
      <c r="D629" s="12"/>
    </row>
    <row r="630">
      <c r="B630" s="11" t="b">
        <v>0</v>
      </c>
      <c r="C630" s="12"/>
      <c r="D630" s="12"/>
    </row>
    <row r="631">
      <c r="B631" s="11" t="b">
        <v>0</v>
      </c>
      <c r="C631" s="12"/>
      <c r="D631" s="12"/>
    </row>
    <row r="632">
      <c r="B632" s="11" t="b">
        <v>0</v>
      </c>
      <c r="C632" s="12"/>
      <c r="D632" s="12"/>
    </row>
    <row r="633">
      <c r="B633" s="11" t="b">
        <v>0</v>
      </c>
      <c r="C633" s="12"/>
      <c r="D633" s="12"/>
    </row>
    <row r="634">
      <c r="B634" s="11" t="b">
        <v>0</v>
      </c>
      <c r="C634" s="12"/>
      <c r="D634" s="12"/>
    </row>
    <row r="635">
      <c r="B635" s="11" t="b">
        <v>0</v>
      </c>
      <c r="C635" s="12"/>
      <c r="D635" s="12"/>
    </row>
    <row r="636">
      <c r="B636" s="11" t="b">
        <v>0</v>
      </c>
      <c r="C636" s="12"/>
      <c r="D636" s="12"/>
    </row>
    <row r="637">
      <c r="B637" s="11" t="b">
        <v>0</v>
      </c>
      <c r="C637" s="12"/>
      <c r="D637" s="12"/>
    </row>
    <row r="638">
      <c r="B638" s="11" t="b">
        <v>0</v>
      </c>
      <c r="C638" s="12"/>
      <c r="D638" s="12"/>
    </row>
    <row r="639">
      <c r="B639" s="11" t="b">
        <v>0</v>
      </c>
      <c r="C639" s="12"/>
      <c r="D639" s="12"/>
    </row>
    <row r="640">
      <c r="B640" s="11" t="b">
        <v>0</v>
      </c>
      <c r="C640" s="12"/>
      <c r="D640" s="12"/>
    </row>
    <row r="641">
      <c r="B641" s="11" t="b">
        <v>0</v>
      </c>
      <c r="C641" s="12"/>
      <c r="D641" s="12"/>
    </row>
    <row r="642">
      <c r="B642" s="11" t="b">
        <v>0</v>
      </c>
      <c r="C642" s="12"/>
      <c r="D642" s="12"/>
    </row>
    <row r="643">
      <c r="B643" s="11" t="b">
        <v>0</v>
      </c>
      <c r="C643" s="12"/>
      <c r="D643" s="12"/>
    </row>
    <row r="644">
      <c r="B644" s="11" t="b">
        <v>0</v>
      </c>
      <c r="C644" s="12"/>
      <c r="D644" s="12"/>
    </row>
    <row r="645">
      <c r="B645" s="11" t="b">
        <v>0</v>
      </c>
      <c r="C645" s="12"/>
      <c r="D645" s="12"/>
    </row>
    <row r="646">
      <c r="B646" s="11" t="b">
        <v>0</v>
      </c>
      <c r="C646" s="12"/>
      <c r="D646" s="12"/>
    </row>
    <row r="647">
      <c r="B647" s="11" t="b">
        <v>0</v>
      </c>
      <c r="C647" s="12"/>
      <c r="D647" s="12"/>
    </row>
    <row r="648">
      <c r="B648" s="11" t="b">
        <v>0</v>
      </c>
      <c r="C648" s="12"/>
      <c r="D648" s="12"/>
    </row>
    <row r="649">
      <c r="B649" s="11" t="b">
        <v>0</v>
      </c>
      <c r="C649" s="12"/>
      <c r="D649" s="12"/>
    </row>
    <row r="650">
      <c r="B650" s="11" t="b">
        <v>0</v>
      </c>
      <c r="C650" s="12"/>
      <c r="D650" s="12"/>
    </row>
    <row r="651">
      <c r="B651" s="11" t="b">
        <v>0</v>
      </c>
      <c r="C651" s="12"/>
      <c r="D651" s="12"/>
    </row>
    <row r="652">
      <c r="B652" s="11" t="b">
        <v>0</v>
      </c>
      <c r="C652" s="12"/>
      <c r="D652" s="12"/>
    </row>
    <row r="653">
      <c r="B653" s="11" t="b">
        <v>0</v>
      </c>
      <c r="C653" s="12"/>
      <c r="D653" s="12"/>
    </row>
    <row r="654">
      <c r="B654" s="11" t="b">
        <v>0</v>
      </c>
      <c r="C654" s="12"/>
      <c r="D654" s="12"/>
    </row>
    <row r="655">
      <c r="B655" s="11" t="b">
        <v>0</v>
      </c>
      <c r="C655" s="12"/>
      <c r="D655" s="12"/>
    </row>
    <row r="656">
      <c r="B656" s="11" t="b">
        <v>0</v>
      </c>
      <c r="C656" s="12"/>
      <c r="D656" s="12"/>
    </row>
    <row r="657">
      <c r="B657" s="11" t="b">
        <v>0</v>
      </c>
      <c r="C657" s="12"/>
      <c r="D657" s="12"/>
    </row>
    <row r="658">
      <c r="B658" s="11" t="b">
        <v>0</v>
      </c>
      <c r="C658" s="12"/>
      <c r="D658" s="12"/>
    </row>
    <row r="659">
      <c r="B659" s="11" t="b">
        <v>0</v>
      </c>
      <c r="C659" s="12"/>
      <c r="D659" s="12"/>
    </row>
    <row r="660">
      <c r="B660" s="11" t="b">
        <v>0</v>
      </c>
      <c r="C660" s="12"/>
      <c r="D660" s="12"/>
    </row>
    <row r="661">
      <c r="B661" s="11" t="b">
        <v>0</v>
      </c>
      <c r="C661" s="12"/>
      <c r="D661" s="12"/>
    </row>
    <row r="662">
      <c r="B662" s="11" t="b">
        <v>0</v>
      </c>
      <c r="C662" s="12"/>
      <c r="D662" s="12"/>
    </row>
    <row r="663">
      <c r="B663" s="11" t="b">
        <v>0</v>
      </c>
      <c r="C663" s="12"/>
      <c r="D663" s="12"/>
    </row>
    <row r="664">
      <c r="B664" s="11" t="b">
        <v>0</v>
      </c>
      <c r="C664" s="12"/>
      <c r="D664" s="12"/>
    </row>
    <row r="665">
      <c r="B665" s="11" t="b">
        <v>0</v>
      </c>
      <c r="C665" s="12"/>
      <c r="D665" s="12"/>
    </row>
    <row r="666">
      <c r="B666" s="11" t="b">
        <v>0</v>
      </c>
      <c r="C666" s="12"/>
      <c r="D666" s="12"/>
    </row>
    <row r="667">
      <c r="B667" s="11" t="b">
        <v>0</v>
      </c>
      <c r="C667" s="12"/>
      <c r="D667" s="12"/>
    </row>
    <row r="668">
      <c r="B668" s="11" t="b">
        <v>0</v>
      </c>
      <c r="C668" s="12"/>
      <c r="D668" s="12"/>
    </row>
    <row r="669">
      <c r="B669" s="11" t="b">
        <v>0</v>
      </c>
      <c r="C669" s="12"/>
      <c r="D669" s="12"/>
    </row>
    <row r="670">
      <c r="B670" s="11" t="b">
        <v>0</v>
      </c>
      <c r="C670" s="12"/>
      <c r="D670" s="12"/>
    </row>
    <row r="671">
      <c r="B671" s="11" t="b">
        <v>0</v>
      </c>
      <c r="C671" s="12"/>
      <c r="D671" s="12"/>
    </row>
    <row r="672">
      <c r="B672" s="11" t="b">
        <v>0</v>
      </c>
      <c r="C672" s="12"/>
      <c r="D672" s="12"/>
    </row>
    <row r="673">
      <c r="B673" s="11" t="b">
        <v>0</v>
      </c>
      <c r="C673" s="12"/>
      <c r="D673" s="12"/>
    </row>
    <row r="674">
      <c r="B674" s="11" t="b">
        <v>0</v>
      </c>
      <c r="C674" s="12"/>
      <c r="D674" s="12"/>
    </row>
    <row r="675">
      <c r="B675" s="11" t="b">
        <v>0</v>
      </c>
      <c r="C675" s="12"/>
      <c r="D675" s="12"/>
    </row>
    <row r="676">
      <c r="B676" s="11" t="b">
        <v>0</v>
      </c>
      <c r="C676" s="12"/>
      <c r="D676" s="12"/>
    </row>
    <row r="677">
      <c r="B677" s="11" t="b">
        <v>0</v>
      </c>
      <c r="C677" s="12"/>
      <c r="D677" s="12"/>
    </row>
    <row r="678">
      <c r="B678" s="11" t="b">
        <v>0</v>
      </c>
      <c r="C678" s="12"/>
      <c r="D678" s="12"/>
    </row>
    <row r="679">
      <c r="B679" s="11" t="b">
        <v>0</v>
      </c>
      <c r="C679" s="12"/>
      <c r="D679" s="12"/>
    </row>
    <row r="680">
      <c r="B680" s="11" t="b">
        <v>0</v>
      </c>
      <c r="C680" s="12"/>
      <c r="D680" s="12"/>
    </row>
    <row r="681">
      <c r="B681" s="11" t="b">
        <v>0</v>
      </c>
      <c r="C681" s="12"/>
      <c r="D681" s="12"/>
    </row>
    <row r="682">
      <c r="B682" s="11" t="b">
        <v>0</v>
      </c>
      <c r="C682" s="12"/>
      <c r="D682" s="12"/>
    </row>
    <row r="683">
      <c r="B683" s="11" t="b">
        <v>0</v>
      </c>
      <c r="C683" s="12"/>
      <c r="D683" s="12"/>
    </row>
    <row r="684">
      <c r="B684" s="11" t="b">
        <v>0</v>
      </c>
      <c r="C684" s="12"/>
      <c r="D684" s="12"/>
    </row>
    <row r="685">
      <c r="B685" s="11" t="b">
        <v>0</v>
      </c>
      <c r="C685" s="12"/>
      <c r="D685" s="12"/>
    </row>
    <row r="686">
      <c r="B686" s="11" t="b">
        <v>0</v>
      </c>
      <c r="C686" s="12"/>
      <c r="D686" s="12"/>
    </row>
    <row r="687">
      <c r="B687" s="11" t="b">
        <v>0</v>
      </c>
      <c r="C687" s="12"/>
      <c r="D687" s="12"/>
    </row>
    <row r="688">
      <c r="B688" s="11" t="b">
        <v>0</v>
      </c>
      <c r="C688" s="12"/>
      <c r="D688" s="12"/>
    </row>
    <row r="689">
      <c r="B689" s="11" t="b">
        <v>0</v>
      </c>
      <c r="C689" s="12"/>
      <c r="D689" s="12"/>
    </row>
    <row r="690">
      <c r="B690" s="11" t="b">
        <v>0</v>
      </c>
      <c r="C690" s="12"/>
      <c r="D690" s="12"/>
    </row>
    <row r="691">
      <c r="B691" s="11" t="b">
        <v>0</v>
      </c>
      <c r="C691" s="12"/>
      <c r="D691" s="12"/>
    </row>
    <row r="692">
      <c r="B692" s="11" t="b">
        <v>0</v>
      </c>
      <c r="C692" s="12"/>
      <c r="D692" s="12"/>
    </row>
    <row r="693">
      <c r="B693" s="11" t="b">
        <v>0</v>
      </c>
      <c r="C693" s="12"/>
      <c r="D693" s="12"/>
    </row>
    <row r="694">
      <c r="B694" s="11" t="b">
        <v>0</v>
      </c>
      <c r="C694" s="12"/>
      <c r="D694" s="12"/>
    </row>
    <row r="695">
      <c r="B695" s="11" t="b">
        <v>0</v>
      </c>
      <c r="C695" s="12"/>
      <c r="D695" s="12"/>
    </row>
    <row r="696">
      <c r="B696" s="11" t="b">
        <v>0</v>
      </c>
      <c r="C696" s="12"/>
      <c r="D696" s="12"/>
    </row>
    <row r="697">
      <c r="B697" s="11" t="b">
        <v>0</v>
      </c>
      <c r="C697" s="12"/>
      <c r="D697" s="12"/>
    </row>
    <row r="698">
      <c r="B698" s="11" t="b">
        <v>0</v>
      </c>
      <c r="C698" s="12"/>
      <c r="D698" s="12"/>
    </row>
    <row r="699">
      <c r="B699" s="11" t="b">
        <v>0</v>
      </c>
      <c r="C699" s="12"/>
      <c r="D699" s="12"/>
    </row>
    <row r="700">
      <c r="B700" s="11" t="b">
        <v>0</v>
      </c>
      <c r="C700" s="12"/>
      <c r="D700" s="12"/>
    </row>
    <row r="701">
      <c r="B701" s="11" t="b">
        <v>0</v>
      </c>
      <c r="C701" s="12"/>
      <c r="D701" s="12"/>
    </row>
    <row r="702">
      <c r="B702" s="11" t="b">
        <v>0</v>
      </c>
      <c r="C702" s="12"/>
      <c r="D702" s="12"/>
    </row>
    <row r="703">
      <c r="B703" s="11" t="b">
        <v>0</v>
      </c>
      <c r="C703" s="12"/>
      <c r="D703" s="12"/>
    </row>
    <row r="704">
      <c r="B704" s="11" t="b">
        <v>0</v>
      </c>
      <c r="C704" s="12"/>
      <c r="D704" s="12"/>
    </row>
    <row r="705">
      <c r="B705" s="11" t="b">
        <v>0</v>
      </c>
      <c r="C705" s="12"/>
      <c r="D705" s="12"/>
    </row>
    <row r="706">
      <c r="B706" s="11" t="b">
        <v>0</v>
      </c>
      <c r="C706" s="12"/>
      <c r="D706" s="12"/>
    </row>
    <row r="707">
      <c r="B707" s="11" t="b">
        <v>0</v>
      </c>
      <c r="C707" s="12"/>
      <c r="D707" s="12"/>
    </row>
    <row r="708">
      <c r="B708" s="11" t="b">
        <v>0</v>
      </c>
      <c r="C708" s="12"/>
      <c r="D708" s="12"/>
    </row>
    <row r="709">
      <c r="B709" s="11" t="b">
        <v>0</v>
      </c>
      <c r="C709" s="12"/>
      <c r="D709" s="12"/>
    </row>
    <row r="710">
      <c r="B710" s="11" t="b">
        <v>0</v>
      </c>
      <c r="C710" s="12"/>
      <c r="D710" s="12"/>
    </row>
    <row r="711">
      <c r="B711" s="11" t="b">
        <v>0</v>
      </c>
      <c r="C711" s="12"/>
      <c r="D711" s="12"/>
    </row>
    <row r="712">
      <c r="B712" s="11" t="b">
        <v>0</v>
      </c>
      <c r="C712" s="12"/>
      <c r="D712" s="12"/>
    </row>
    <row r="713">
      <c r="B713" s="11" t="b">
        <v>0</v>
      </c>
      <c r="C713" s="12"/>
      <c r="D713" s="12"/>
    </row>
    <row r="714">
      <c r="B714" s="11" t="b">
        <v>0</v>
      </c>
      <c r="C714" s="12"/>
      <c r="D714" s="12"/>
    </row>
    <row r="715">
      <c r="B715" s="11" t="b">
        <v>0</v>
      </c>
      <c r="C715" s="12"/>
      <c r="D715" s="12"/>
    </row>
    <row r="716">
      <c r="B716" s="11" t="b">
        <v>0</v>
      </c>
      <c r="C716" s="12"/>
      <c r="D716" s="12"/>
    </row>
    <row r="717">
      <c r="B717" s="11" t="b">
        <v>0</v>
      </c>
      <c r="C717" s="12"/>
      <c r="D717" s="12"/>
    </row>
    <row r="718">
      <c r="B718" s="11" t="b">
        <v>0</v>
      </c>
      <c r="C718" s="12"/>
      <c r="D718" s="12"/>
    </row>
    <row r="719">
      <c r="B719" s="11" t="b">
        <v>0</v>
      </c>
      <c r="C719" s="12"/>
      <c r="D719" s="12"/>
    </row>
    <row r="720">
      <c r="B720" s="11" t="b">
        <v>0</v>
      </c>
      <c r="C720" s="12"/>
      <c r="D720" s="12"/>
    </row>
    <row r="721">
      <c r="B721" s="11" t="b">
        <v>0</v>
      </c>
      <c r="C721" s="12"/>
      <c r="D721" s="12"/>
    </row>
    <row r="722">
      <c r="B722" s="11" t="b">
        <v>0</v>
      </c>
      <c r="C722" s="12"/>
      <c r="D722" s="12"/>
    </row>
    <row r="723">
      <c r="B723" s="11" t="b">
        <v>0</v>
      </c>
      <c r="C723" s="12"/>
      <c r="D723" s="12"/>
    </row>
    <row r="724">
      <c r="B724" s="11" t="b">
        <v>0</v>
      </c>
      <c r="C724" s="12"/>
      <c r="D724" s="12"/>
    </row>
    <row r="725">
      <c r="B725" s="11" t="b">
        <v>0</v>
      </c>
      <c r="C725" s="12"/>
      <c r="D725" s="12"/>
    </row>
    <row r="726">
      <c r="B726" s="11" t="b">
        <v>0</v>
      </c>
      <c r="C726" s="12"/>
      <c r="D726" s="12"/>
    </row>
    <row r="727">
      <c r="B727" s="11" t="b">
        <v>0</v>
      </c>
      <c r="C727" s="12"/>
      <c r="D727" s="12"/>
    </row>
    <row r="728">
      <c r="B728" s="11" t="b">
        <v>0</v>
      </c>
      <c r="C728" s="12"/>
      <c r="D728" s="12"/>
    </row>
    <row r="729">
      <c r="B729" s="11" t="b">
        <v>0</v>
      </c>
      <c r="C729" s="12"/>
      <c r="D729" s="12"/>
    </row>
    <row r="730">
      <c r="B730" s="11" t="b">
        <v>0</v>
      </c>
      <c r="C730" s="12"/>
      <c r="D730" s="12"/>
    </row>
    <row r="731">
      <c r="B731" s="11" t="b">
        <v>0</v>
      </c>
      <c r="C731" s="12"/>
      <c r="D731" s="12"/>
    </row>
    <row r="732">
      <c r="B732" s="11" t="b">
        <v>0</v>
      </c>
      <c r="C732" s="12"/>
      <c r="D732" s="12"/>
    </row>
    <row r="733">
      <c r="B733" s="11" t="b">
        <v>0</v>
      </c>
      <c r="C733" s="12"/>
      <c r="D733" s="12"/>
    </row>
    <row r="734">
      <c r="B734" s="11" t="b">
        <v>0</v>
      </c>
      <c r="C734" s="12"/>
      <c r="D734" s="12"/>
    </row>
    <row r="735">
      <c r="B735" s="11" t="b">
        <v>0</v>
      </c>
      <c r="C735" s="12"/>
      <c r="D735" s="12"/>
    </row>
    <row r="736">
      <c r="B736" s="11" t="b">
        <v>0</v>
      </c>
      <c r="C736" s="12"/>
      <c r="D736" s="12"/>
    </row>
    <row r="737">
      <c r="B737" s="11" t="b">
        <v>0</v>
      </c>
      <c r="C737" s="12"/>
      <c r="D737" s="12"/>
    </row>
    <row r="738">
      <c r="B738" s="11" t="b">
        <v>0</v>
      </c>
      <c r="C738" s="12"/>
      <c r="D738" s="12"/>
    </row>
    <row r="739">
      <c r="B739" s="11" t="b">
        <v>0</v>
      </c>
      <c r="C739" s="12"/>
      <c r="D739" s="12"/>
    </row>
    <row r="740">
      <c r="B740" s="11" t="b">
        <v>0</v>
      </c>
      <c r="C740" s="12"/>
      <c r="D740" s="12"/>
    </row>
    <row r="741">
      <c r="B741" s="11" t="b">
        <v>0</v>
      </c>
      <c r="C741" s="12"/>
      <c r="D741" s="12"/>
    </row>
    <row r="742">
      <c r="B742" s="11" t="b">
        <v>0</v>
      </c>
      <c r="C742" s="12"/>
      <c r="D742" s="12"/>
    </row>
    <row r="743">
      <c r="B743" s="11" t="b">
        <v>0</v>
      </c>
      <c r="C743" s="12"/>
      <c r="D743" s="12"/>
    </row>
    <row r="744">
      <c r="B744" s="11" t="b">
        <v>0</v>
      </c>
      <c r="C744" s="12"/>
      <c r="D744" s="12"/>
    </row>
    <row r="745">
      <c r="B745" s="11" t="b">
        <v>0</v>
      </c>
      <c r="C745" s="12"/>
      <c r="D745" s="12"/>
    </row>
    <row r="746">
      <c r="B746" s="11" t="b">
        <v>0</v>
      </c>
      <c r="C746" s="12"/>
      <c r="D746" s="12"/>
    </row>
    <row r="747">
      <c r="B747" s="11" t="b">
        <v>0</v>
      </c>
      <c r="C747" s="12"/>
      <c r="D747" s="12"/>
    </row>
    <row r="748">
      <c r="B748" s="11" t="b">
        <v>0</v>
      </c>
      <c r="C748" s="12"/>
      <c r="D748" s="12"/>
    </row>
    <row r="749">
      <c r="B749" s="11" t="b">
        <v>0</v>
      </c>
      <c r="C749" s="12"/>
      <c r="D749" s="12"/>
    </row>
    <row r="750">
      <c r="B750" s="11" t="b">
        <v>0</v>
      </c>
      <c r="C750" s="12"/>
      <c r="D750" s="12"/>
    </row>
    <row r="751">
      <c r="B751" s="11" t="b">
        <v>0</v>
      </c>
      <c r="C751" s="12"/>
      <c r="D751" s="12"/>
    </row>
    <row r="752">
      <c r="B752" s="11" t="b">
        <v>0</v>
      </c>
      <c r="C752" s="12"/>
      <c r="D752" s="12"/>
    </row>
    <row r="753">
      <c r="B753" s="11" t="b">
        <v>0</v>
      </c>
      <c r="C753" s="12"/>
      <c r="D753" s="12"/>
    </row>
    <row r="754">
      <c r="B754" s="11" t="b">
        <v>0</v>
      </c>
      <c r="C754" s="12"/>
      <c r="D754" s="12"/>
    </row>
    <row r="755">
      <c r="B755" s="11" t="b">
        <v>0</v>
      </c>
      <c r="C755" s="12"/>
      <c r="D755" s="12"/>
    </row>
    <row r="756">
      <c r="B756" s="11" t="b">
        <v>0</v>
      </c>
      <c r="C756" s="12"/>
      <c r="D756" s="12"/>
    </row>
    <row r="757">
      <c r="B757" s="11" t="b">
        <v>0</v>
      </c>
      <c r="C757" s="12"/>
      <c r="D757" s="12"/>
    </row>
    <row r="758">
      <c r="B758" s="11" t="b">
        <v>0</v>
      </c>
      <c r="C758" s="12"/>
      <c r="D758" s="12"/>
    </row>
    <row r="759">
      <c r="B759" s="11" t="b">
        <v>0</v>
      </c>
      <c r="C759" s="12"/>
      <c r="D759" s="12"/>
    </row>
    <row r="760">
      <c r="B760" s="11" t="b">
        <v>0</v>
      </c>
      <c r="C760" s="12"/>
      <c r="D760" s="12"/>
    </row>
    <row r="761">
      <c r="B761" s="11" t="b">
        <v>0</v>
      </c>
      <c r="C761" s="12"/>
      <c r="D761" s="12"/>
    </row>
    <row r="762">
      <c r="B762" s="11" t="b">
        <v>0</v>
      </c>
      <c r="C762" s="12"/>
      <c r="D762" s="12"/>
    </row>
    <row r="763">
      <c r="B763" s="11" t="b">
        <v>0</v>
      </c>
      <c r="C763" s="12"/>
      <c r="D763" s="12"/>
    </row>
    <row r="764">
      <c r="B764" s="11" t="b">
        <v>0</v>
      </c>
      <c r="C764" s="12"/>
      <c r="D764" s="12"/>
    </row>
    <row r="765">
      <c r="B765" s="11" t="b">
        <v>0</v>
      </c>
      <c r="C765" s="12"/>
      <c r="D765" s="12"/>
    </row>
    <row r="766">
      <c r="B766" s="11" t="b">
        <v>0</v>
      </c>
      <c r="C766" s="12"/>
      <c r="D766" s="12"/>
    </row>
    <row r="767">
      <c r="B767" s="11" t="b">
        <v>0</v>
      </c>
      <c r="C767" s="12"/>
      <c r="D767" s="12"/>
    </row>
    <row r="768">
      <c r="B768" s="11" t="b">
        <v>0</v>
      </c>
      <c r="C768" s="12"/>
      <c r="D768" s="12"/>
    </row>
    <row r="769">
      <c r="B769" s="11" t="b">
        <v>0</v>
      </c>
      <c r="C769" s="12"/>
      <c r="D769" s="12"/>
    </row>
    <row r="770">
      <c r="B770" s="11" t="b">
        <v>0</v>
      </c>
      <c r="C770" s="12"/>
      <c r="D770" s="12"/>
    </row>
    <row r="771">
      <c r="B771" s="11" t="b">
        <v>0</v>
      </c>
      <c r="C771" s="12"/>
      <c r="D771" s="12"/>
    </row>
    <row r="772">
      <c r="B772" s="11" t="b">
        <v>0</v>
      </c>
      <c r="C772" s="12"/>
      <c r="D772" s="12"/>
    </row>
    <row r="773">
      <c r="B773" s="11" t="b">
        <v>0</v>
      </c>
      <c r="C773" s="12"/>
      <c r="D773" s="12"/>
    </row>
    <row r="774">
      <c r="B774" s="11" t="b">
        <v>0</v>
      </c>
      <c r="C774" s="12"/>
      <c r="D774" s="12"/>
    </row>
    <row r="775">
      <c r="B775" s="11" t="b">
        <v>0</v>
      </c>
      <c r="C775" s="12"/>
      <c r="D775" s="12"/>
    </row>
    <row r="776">
      <c r="B776" s="11" t="b">
        <v>0</v>
      </c>
      <c r="C776" s="12"/>
      <c r="D776" s="12"/>
    </row>
    <row r="777">
      <c r="B777" s="11" t="b">
        <v>0</v>
      </c>
      <c r="C777" s="12"/>
      <c r="D777" s="12"/>
    </row>
    <row r="778">
      <c r="B778" s="11" t="b">
        <v>0</v>
      </c>
      <c r="C778" s="12"/>
      <c r="D778" s="12"/>
    </row>
    <row r="779">
      <c r="B779" s="11" t="b">
        <v>0</v>
      </c>
      <c r="C779" s="12"/>
      <c r="D779" s="12"/>
    </row>
    <row r="780">
      <c r="B780" s="11" t="b">
        <v>0</v>
      </c>
      <c r="C780" s="12"/>
      <c r="D780" s="12"/>
    </row>
    <row r="781">
      <c r="B781" s="11" t="b">
        <v>0</v>
      </c>
      <c r="C781" s="12"/>
      <c r="D781" s="12"/>
    </row>
    <row r="782">
      <c r="B782" s="11" t="b">
        <v>0</v>
      </c>
      <c r="C782" s="12"/>
      <c r="D782" s="12"/>
    </row>
    <row r="783">
      <c r="B783" s="11" t="b">
        <v>0</v>
      </c>
      <c r="C783" s="12"/>
      <c r="D783" s="12"/>
    </row>
    <row r="784">
      <c r="B784" s="11" t="b">
        <v>0</v>
      </c>
      <c r="C784" s="12"/>
      <c r="D784" s="12"/>
    </row>
    <row r="785">
      <c r="B785" s="11" t="b">
        <v>0</v>
      </c>
      <c r="C785" s="12"/>
      <c r="D785" s="12"/>
    </row>
    <row r="786">
      <c r="B786" s="11" t="b">
        <v>0</v>
      </c>
      <c r="C786" s="12"/>
      <c r="D786" s="12"/>
    </row>
    <row r="787">
      <c r="B787" s="11" t="b">
        <v>0</v>
      </c>
      <c r="C787" s="12"/>
      <c r="D787" s="12"/>
    </row>
    <row r="788">
      <c r="B788" s="11" t="b">
        <v>0</v>
      </c>
      <c r="C788" s="12"/>
      <c r="D788" s="12"/>
    </row>
    <row r="789">
      <c r="B789" s="11" t="b">
        <v>0</v>
      </c>
      <c r="C789" s="12"/>
      <c r="D789" s="12"/>
    </row>
    <row r="790">
      <c r="B790" s="11" t="b">
        <v>0</v>
      </c>
      <c r="C790" s="12"/>
      <c r="D790" s="12"/>
    </row>
    <row r="791">
      <c r="B791" s="11" t="b">
        <v>0</v>
      </c>
      <c r="C791" s="12"/>
      <c r="D791" s="12"/>
    </row>
    <row r="792">
      <c r="B792" s="11" t="b">
        <v>0</v>
      </c>
      <c r="C792" s="12"/>
      <c r="D792" s="12"/>
    </row>
    <row r="793">
      <c r="B793" s="11" t="b">
        <v>0</v>
      </c>
      <c r="C793" s="12"/>
      <c r="D793" s="12"/>
    </row>
    <row r="794">
      <c r="B794" s="11" t="b">
        <v>0</v>
      </c>
      <c r="C794" s="12"/>
      <c r="D794" s="12"/>
    </row>
    <row r="795">
      <c r="B795" s="11" t="b">
        <v>0</v>
      </c>
      <c r="C795" s="12"/>
      <c r="D795" s="12"/>
    </row>
    <row r="796">
      <c r="B796" s="11" t="b">
        <v>0</v>
      </c>
      <c r="C796" s="12"/>
      <c r="D796" s="12"/>
    </row>
    <row r="797">
      <c r="B797" s="11" t="b">
        <v>0</v>
      </c>
      <c r="C797" s="12"/>
      <c r="D797" s="12"/>
    </row>
    <row r="798">
      <c r="B798" s="11" t="b">
        <v>0</v>
      </c>
      <c r="C798" s="12"/>
      <c r="D798" s="12"/>
    </row>
    <row r="799">
      <c r="B799" s="11" t="b">
        <v>0</v>
      </c>
      <c r="C799" s="12"/>
      <c r="D799" s="12"/>
    </row>
    <row r="800">
      <c r="B800" s="11" t="b">
        <v>0</v>
      </c>
      <c r="C800" s="12"/>
      <c r="D800" s="12"/>
    </row>
    <row r="801">
      <c r="B801" s="11" t="b">
        <v>0</v>
      </c>
      <c r="C801" s="12"/>
      <c r="D801" s="12"/>
    </row>
    <row r="802">
      <c r="B802" s="11" t="b">
        <v>0</v>
      </c>
      <c r="C802" s="12"/>
      <c r="D802" s="12"/>
    </row>
    <row r="803">
      <c r="B803" s="11" t="b">
        <v>0</v>
      </c>
      <c r="C803" s="12"/>
      <c r="D803" s="12"/>
    </row>
    <row r="804">
      <c r="B804" s="11" t="b">
        <v>0</v>
      </c>
      <c r="C804" s="12"/>
      <c r="D804" s="12"/>
    </row>
    <row r="805">
      <c r="B805" s="11" t="b">
        <v>0</v>
      </c>
      <c r="C805" s="12"/>
      <c r="D805" s="12"/>
    </row>
    <row r="806">
      <c r="B806" s="11" t="b">
        <v>0</v>
      </c>
      <c r="C806" s="12"/>
      <c r="D806" s="12"/>
    </row>
    <row r="807">
      <c r="B807" s="11" t="b">
        <v>0</v>
      </c>
      <c r="C807" s="12"/>
      <c r="D807" s="12"/>
    </row>
    <row r="808">
      <c r="B808" s="11" t="b">
        <v>0</v>
      </c>
      <c r="C808" s="12"/>
      <c r="D808" s="12"/>
    </row>
    <row r="809">
      <c r="B809" s="11" t="b">
        <v>0</v>
      </c>
      <c r="C809" s="12"/>
      <c r="D809" s="12"/>
    </row>
    <row r="810">
      <c r="B810" s="11" t="b">
        <v>0</v>
      </c>
      <c r="C810" s="12"/>
      <c r="D810" s="12"/>
    </row>
    <row r="811">
      <c r="B811" s="11" t="b">
        <v>0</v>
      </c>
      <c r="C811" s="12"/>
      <c r="D811" s="12"/>
    </row>
    <row r="812">
      <c r="B812" s="11" t="b">
        <v>0</v>
      </c>
      <c r="C812" s="12"/>
      <c r="D812" s="12"/>
    </row>
    <row r="813">
      <c r="B813" s="11" t="b">
        <v>0</v>
      </c>
      <c r="C813" s="12"/>
      <c r="D813" s="12"/>
    </row>
    <row r="814">
      <c r="B814" s="11" t="b">
        <v>0</v>
      </c>
      <c r="C814" s="12"/>
      <c r="D814" s="12"/>
    </row>
    <row r="815">
      <c r="B815" s="11" t="b">
        <v>0</v>
      </c>
      <c r="C815" s="12"/>
      <c r="D815" s="12"/>
    </row>
    <row r="816">
      <c r="B816" s="11" t="b">
        <v>0</v>
      </c>
      <c r="C816" s="12"/>
      <c r="D816" s="12"/>
    </row>
    <row r="817">
      <c r="B817" s="11" t="b">
        <v>0</v>
      </c>
      <c r="C817" s="12"/>
      <c r="D817" s="12"/>
    </row>
    <row r="818">
      <c r="B818" s="11" t="b">
        <v>0</v>
      </c>
      <c r="C818" s="12"/>
      <c r="D818" s="12"/>
    </row>
    <row r="819">
      <c r="B819" s="11" t="b">
        <v>0</v>
      </c>
      <c r="C819" s="12"/>
      <c r="D819" s="12"/>
    </row>
    <row r="820">
      <c r="B820" s="11" t="b">
        <v>0</v>
      </c>
      <c r="C820" s="12"/>
      <c r="D820" s="12"/>
    </row>
    <row r="821">
      <c r="B821" s="11" t="b">
        <v>0</v>
      </c>
      <c r="C821" s="12"/>
      <c r="D821" s="12"/>
    </row>
    <row r="822">
      <c r="B822" s="11" t="b">
        <v>0</v>
      </c>
      <c r="C822" s="12"/>
      <c r="D822" s="12"/>
    </row>
    <row r="823">
      <c r="B823" s="11" t="b">
        <v>0</v>
      </c>
      <c r="C823" s="12"/>
      <c r="D823" s="12"/>
    </row>
    <row r="824">
      <c r="B824" s="11" t="b">
        <v>0</v>
      </c>
      <c r="C824" s="12"/>
      <c r="D824" s="12"/>
    </row>
    <row r="825">
      <c r="B825" s="11" t="b">
        <v>0</v>
      </c>
      <c r="C825" s="12"/>
      <c r="D825" s="12"/>
    </row>
    <row r="826">
      <c r="B826" s="11" t="b">
        <v>0</v>
      </c>
      <c r="C826" s="12"/>
      <c r="D826" s="12"/>
    </row>
    <row r="827">
      <c r="B827" s="11" t="b">
        <v>0</v>
      </c>
      <c r="C827" s="12"/>
      <c r="D827" s="12"/>
    </row>
    <row r="828">
      <c r="B828" s="11" t="b">
        <v>0</v>
      </c>
      <c r="C828" s="12"/>
      <c r="D828" s="12"/>
    </row>
    <row r="829">
      <c r="B829" s="11" t="b">
        <v>0</v>
      </c>
      <c r="C829" s="12"/>
      <c r="D829" s="12"/>
    </row>
    <row r="830">
      <c r="B830" s="11" t="b">
        <v>0</v>
      </c>
      <c r="C830" s="12"/>
      <c r="D830" s="12"/>
    </row>
    <row r="831">
      <c r="B831" s="11" t="b">
        <v>0</v>
      </c>
      <c r="C831" s="12"/>
      <c r="D831" s="12"/>
    </row>
    <row r="832">
      <c r="B832" s="11" t="b">
        <v>0</v>
      </c>
      <c r="C832" s="12"/>
      <c r="D832" s="12"/>
    </row>
    <row r="833">
      <c r="B833" s="11" t="b">
        <v>0</v>
      </c>
      <c r="C833" s="12"/>
      <c r="D833" s="12"/>
    </row>
    <row r="834">
      <c r="B834" s="11" t="b">
        <v>0</v>
      </c>
      <c r="C834" s="12"/>
      <c r="D834" s="12"/>
    </row>
    <row r="835">
      <c r="B835" s="11" t="b">
        <v>0</v>
      </c>
      <c r="C835" s="12"/>
      <c r="D835" s="12"/>
    </row>
    <row r="836">
      <c r="B836" s="11" t="b">
        <v>0</v>
      </c>
      <c r="C836" s="12"/>
      <c r="D836" s="12"/>
    </row>
    <row r="837">
      <c r="B837" s="11" t="b">
        <v>0</v>
      </c>
      <c r="C837" s="12"/>
      <c r="D837" s="12"/>
    </row>
    <row r="838">
      <c r="B838" s="11" t="b">
        <v>0</v>
      </c>
      <c r="C838" s="12"/>
      <c r="D838" s="12"/>
    </row>
    <row r="839">
      <c r="B839" s="11" t="b">
        <v>0</v>
      </c>
      <c r="C839" s="12"/>
      <c r="D839" s="12"/>
    </row>
    <row r="840">
      <c r="B840" s="11" t="b">
        <v>0</v>
      </c>
      <c r="C840" s="12"/>
      <c r="D840" s="12"/>
    </row>
    <row r="841">
      <c r="B841" s="11" t="b">
        <v>0</v>
      </c>
      <c r="C841" s="12"/>
      <c r="D841" s="12"/>
    </row>
    <row r="842">
      <c r="B842" s="11" t="b">
        <v>0</v>
      </c>
      <c r="C842" s="12"/>
      <c r="D842" s="12"/>
    </row>
    <row r="843">
      <c r="B843" s="11" t="b">
        <v>0</v>
      </c>
      <c r="C843" s="12"/>
      <c r="D843" s="12"/>
    </row>
    <row r="844">
      <c r="B844" s="11" t="b">
        <v>0</v>
      </c>
      <c r="C844" s="12"/>
      <c r="D844" s="12"/>
    </row>
    <row r="845">
      <c r="B845" s="11" t="b">
        <v>0</v>
      </c>
      <c r="C845" s="12"/>
      <c r="D845" s="12"/>
    </row>
    <row r="846">
      <c r="B846" s="11" t="b">
        <v>0</v>
      </c>
      <c r="C846" s="12"/>
      <c r="D846" s="12"/>
    </row>
    <row r="847">
      <c r="B847" s="11" t="b">
        <v>0</v>
      </c>
      <c r="C847" s="12"/>
      <c r="D847" s="12"/>
    </row>
    <row r="848">
      <c r="B848" s="11" t="b">
        <v>0</v>
      </c>
      <c r="C848" s="12"/>
      <c r="D848" s="12"/>
    </row>
    <row r="849">
      <c r="B849" s="11" t="b">
        <v>0</v>
      </c>
      <c r="C849" s="12"/>
      <c r="D849" s="12"/>
    </row>
    <row r="850">
      <c r="B850" s="11" t="b">
        <v>0</v>
      </c>
      <c r="C850" s="12"/>
      <c r="D850" s="12"/>
    </row>
    <row r="851">
      <c r="B851" s="11" t="b">
        <v>0</v>
      </c>
      <c r="C851" s="12"/>
      <c r="D851" s="12"/>
    </row>
    <row r="852">
      <c r="B852" s="11" t="b">
        <v>0</v>
      </c>
      <c r="C852" s="12"/>
      <c r="D852" s="12"/>
    </row>
    <row r="853">
      <c r="B853" s="11" t="b">
        <v>0</v>
      </c>
      <c r="C853" s="12"/>
      <c r="D853" s="12"/>
    </row>
    <row r="854">
      <c r="B854" s="11" t="b">
        <v>0</v>
      </c>
      <c r="C854" s="12"/>
      <c r="D854" s="12"/>
    </row>
    <row r="855">
      <c r="B855" s="11" t="b">
        <v>0</v>
      </c>
      <c r="C855" s="12"/>
      <c r="D855" s="12"/>
    </row>
    <row r="856">
      <c r="B856" s="11" t="b">
        <v>0</v>
      </c>
      <c r="C856" s="12"/>
      <c r="D856" s="12"/>
    </row>
    <row r="857">
      <c r="B857" s="11" t="b">
        <v>0</v>
      </c>
      <c r="C857" s="12"/>
      <c r="D857" s="12"/>
    </row>
    <row r="858">
      <c r="B858" s="11" t="b">
        <v>0</v>
      </c>
      <c r="C858" s="12"/>
      <c r="D858" s="12"/>
    </row>
    <row r="859">
      <c r="B859" s="11" t="b">
        <v>0</v>
      </c>
      <c r="C859" s="12"/>
      <c r="D859" s="12"/>
    </row>
    <row r="860">
      <c r="B860" s="11" t="b">
        <v>0</v>
      </c>
      <c r="C860" s="12"/>
      <c r="D860" s="12"/>
    </row>
    <row r="861">
      <c r="B861" s="11" t="b">
        <v>0</v>
      </c>
      <c r="C861" s="12"/>
      <c r="D861" s="12"/>
    </row>
    <row r="862">
      <c r="B862" s="11" t="b">
        <v>0</v>
      </c>
      <c r="C862" s="12"/>
      <c r="D862" s="12"/>
    </row>
    <row r="863">
      <c r="B863" s="11" t="b">
        <v>0</v>
      </c>
      <c r="C863" s="12"/>
      <c r="D863" s="12"/>
    </row>
    <row r="864">
      <c r="B864" s="11" t="b">
        <v>0</v>
      </c>
      <c r="C864" s="12"/>
      <c r="D864" s="12"/>
    </row>
    <row r="865">
      <c r="B865" s="11" t="b">
        <v>0</v>
      </c>
      <c r="C865" s="12"/>
      <c r="D865" s="12"/>
    </row>
    <row r="866">
      <c r="B866" s="11" t="b">
        <v>0</v>
      </c>
      <c r="C866" s="12"/>
      <c r="D866" s="12"/>
    </row>
    <row r="867">
      <c r="B867" s="11" t="b">
        <v>0</v>
      </c>
      <c r="C867" s="12"/>
      <c r="D867" s="12"/>
    </row>
    <row r="868">
      <c r="B868" s="11" t="b">
        <v>0</v>
      </c>
      <c r="C868" s="12"/>
      <c r="D868" s="12"/>
    </row>
    <row r="869">
      <c r="B869" s="11" t="b">
        <v>0</v>
      </c>
      <c r="C869" s="12"/>
      <c r="D869" s="12"/>
    </row>
    <row r="870">
      <c r="B870" s="11" t="b">
        <v>0</v>
      </c>
      <c r="C870" s="12"/>
      <c r="D870" s="12"/>
    </row>
    <row r="871">
      <c r="B871" s="11" t="b">
        <v>0</v>
      </c>
      <c r="C871" s="12"/>
      <c r="D871" s="12"/>
    </row>
    <row r="872">
      <c r="B872" s="11" t="b">
        <v>0</v>
      </c>
      <c r="C872" s="12"/>
      <c r="D872" s="12"/>
    </row>
    <row r="873">
      <c r="B873" s="11" t="b">
        <v>0</v>
      </c>
      <c r="C873" s="12"/>
      <c r="D873" s="12"/>
    </row>
    <row r="874">
      <c r="B874" s="11" t="b">
        <v>0</v>
      </c>
      <c r="C874" s="12"/>
      <c r="D874" s="12"/>
    </row>
    <row r="875">
      <c r="B875" s="11" t="b">
        <v>0</v>
      </c>
      <c r="C875" s="12"/>
      <c r="D875" s="12"/>
    </row>
    <row r="876">
      <c r="B876" s="11" t="b">
        <v>0</v>
      </c>
      <c r="C876" s="12"/>
      <c r="D876" s="12"/>
    </row>
    <row r="877">
      <c r="B877" s="11" t="b">
        <v>0</v>
      </c>
      <c r="C877" s="12"/>
      <c r="D877" s="12"/>
    </row>
    <row r="878">
      <c r="B878" s="11" t="b">
        <v>0</v>
      </c>
      <c r="C878" s="12"/>
      <c r="D878" s="12"/>
    </row>
    <row r="879">
      <c r="B879" s="11" t="b">
        <v>0</v>
      </c>
      <c r="C879" s="12"/>
      <c r="D879" s="12"/>
    </row>
    <row r="880">
      <c r="B880" s="11" t="b">
        <v>0</v>
      </c>
      <c r="C880" s="12"/>
      <c r="D880" s="12"/>
    </row>
    <row r="881">
      <c r="B881" s="11" t="b">
        <v>0</v>
      </c>
      <c r="C881" s="12"/>
      <c r="D881" s="12"/>
    </row>
    <row r="882">
      <c r="B882" s="11" t="b">
        <v>0</v>
      </c>
      <c r="C882" s="12"/>
      <c r="D882" s="12"/>
    </row>
    <row r="883">
      <c r="B883" s="11" t="b">
        <v>0</v>
      </c>
      <c r="C883" s="12"/>
      <c r="D883" s="12"/>
    </row>
    <row r="884">
      <c r="B884" s="11" t="b">
        <v>0</v>
      </c>
      <c r="C884" s="12"/>
      <c r="D884" s="12"/>
    </row>
    <row r="885">
      <c r="B885" s="11" t="b">
        <v>0</v>
      </c>
      <c r="C885" s="12"/>
      <c r="D885" s="12"/>
    </row>
    <row r="886">
      <c r="B886" s="11" t="b">
        <v>0</v>
      </c>
      <c r="C886" s="12"/>
      <c r="D886" s="12"/>
    </row>
    <row r="887">
      <c r="B887" s="11" t="b">
        <v>0</v>
      </c>
      <c r="C887" s="12"/>
      <c r="D887" s="12"/>
    </row>
    <row r="888">
      <c r="B888" s="11" t="b">
        <v>0</v>
      </c>
      <c r="C888" s="12"/>
      <c r="D888" s="12"/>
    </row>
    <row r="889">
      <c r="B889" s="11" t="b">
        <v>0</v>
      </c>
      <c r="C889" s="12"/>
      <c r="D889" s="12"/>
    </row>
    <row r="890">
      <c r="B890" s="11" t="b">
        <v>0</v>
      </c>
      <c r="C890" s="12"/>
      <c r="D890" s="12"/>
    </row>
    <row r="891">
      <c r="B891" s="11" t="b">
        <v>0</v>
      </c>
      <c r="C891" s="12"/>
      <c r="D891" s="12"/>
    </row>
    <row r="892">
      <c r="B892" s="11" t="b">
        <v>0</v>
      </c>
      <c r="C892" s="12"/>
      <c r="D892" s="12"/>
    </row>
    <row r="893">
      <c r="B893" s="11" t="b">
        <v>0</v>
      </c>
      <c r="C893" s="12"/>
      <c r="D893" s="12"/>
    </row>
    <row r="894">
      <c r="B894" s="11" t="b">
        <v>0</v>
      </c>
      <c r="C894" s="12"/>
      <c r="D894" s="12"/>
    </row>
    <row r="895">
      <c r="B895" s="11" t="b">
        <v>0</v>
      </c>
      <c r="C895" s="12"/>
      <c r="D895" s="12"/>
    </row>
    <row r="896">
      <c r="B896" s="11" t="b">
        <v>0</v>
      </c>
      <c r="C896" s="12"/>
      <c r="D896" s="12"/>
    </row>
    <row r="897">
      <c r="B897" s="11" t="b">
        <v>0</v>
      </c>
      <c r="C897" s="12"/>
      <c r="D897" s="12"/>
    </row>
    <row r="898">
      <c r="B898" s="11" t="b">
        <v>0</v>
      </c>
      <c r="C898" s="12"/>
      <c r="D898" s="12"/>
    </row>
    <row r="899">
      <c r="B899" s="11" t="b">
        <v>0</v>
      </c>
      <c r="C899" s="12"/>
      <c r="D899" s="12"/>
    </row>
    <row r="900">
      <c r="B900" s="11" t="b">
        <v>0</v>
      </c>
      <c r="C900" s="12"/>
      <c r="D900" s="12"/>
    </row>
    <row r="901">
      <c r="B901" s="11" t="b">
        <v>0</v>
      </c>
      <c r="C901" s="12"/>
      <c r="D901" s="12"/>
    </row>
    <row r="902">
      <c r="B902" s="11" t="b">
        <v>0</v>
      </c>
      <c r="C902" s="12"/>
      <c r="D902" s="12"/>
    </row>
    <row r="903">
      <c r="B903" s="11" t="b">
        <v>0</v>
      </c>
      <c r="C903" s="12"/>
      <c r="D903" s="12"/>
    </row>
    <row r="904">
      <c r="B904" s="11" t="b">
        <v>0</v>
      </c>
      <c r="C904" s="12"/>
      <c r="D904" s="12"/>
    </row>
    <row r="905">
      <c r="B905" s="11" t="b">
        <v>0</v>
      </c>
      <c r="C905" s="12"/>
      <c r="D905" s="12"/>
    </row>
    <row r="906">
      <c r="B906" s="11" t="b">
        <v>0</v>
      </c>
      <c r="C906" s="12"/>
      <c r="D906" s="12"/>
    </row>
    <row r="907">
      <c r="B907" s="11" t="b">
        <v>0</v>
      </c>
      <c r="C907" s="12"/>
      <c r="D907" s="12"/>
    </row>
    <row r="908">
      <c r="B908" s="11" t="b">
        <v>0</v>
      </c>
      <c r="C908" s="12"/>
      <c r="D908" s="12"/>
    </row>
    <row r="909">
      <c r="B909" s="11" t="b">
        <v>0</v>
      </c>
      <c r="C909" s="12"/>
      <c r="D909" s="12"/>
    </row>
    <row r="910">
      <c r="B910" s="11" t="b">
        <v>0</v>
      </c>
      <c r="C910" s="12"/>
      <c r="D910" s="12"/>
    </row>
    <row r="911">
      <c r="B911" s="11" t="b">
        <v>0</v>
      </c>
      <c r="C911" s="12"/>
      <c r="D911" s="12"/>
    </row>
    <row r="912">
      <c r="B912" s="11" t="b">
        <v>0</v>
      </c>
      <c r="C912" s="12"/>
      <c r="D912" s="12"/>
    </row>
    <row r="913">
      <c r="B913" s="11" t="b">
        <v>0</v>
      </c>
      <c r="C913" s="12"/>
      <c r="D913" s="12"/>
    </row>
    <row r="914">
      <c r="B914" s="11" t="b">
        <v>0</v>
      </c>
      <c r="C914" s="12"/>
      <c r="D914" s="12"/>
    </row>
    <row r="915">
      <c r="B915" s="11" t="b">
        <v>0</v>
      </c>
      <c r="C915" s="12"/>
      <c r="D915" s="12"/>
    </row>
    <row r="916">
      <c r="B916" s="11" t="b">
        <v>0</v>
      </c>
      <c r="C916" s="12"/>
      <c r="D916" s="12"/>
    </row>
    <row r="917">
      <c r="B917" s="11" t="b">
        <v>0</v>
      </c>
      <c r="C917" s="12"/>
      <c r="D917" s="12"/>
    </row>
    <row r="918">
      <c r="B918" s="11" t="b">
        <v>0</v>
      </c>
      <c r="C918" s="12"/>
      <c r="D918" s="12"/>
    </row>
    <row r="919">
      <c r="B919" s="11" t="b">
        <v>0</v>
      </c>
      <c r="C919" s="12"/>
      <c r="D919" s="12"/>
    </row>
    <row r="920">
      <c r="B920" s="11" t="b">
        <v>0</v>
      </c>
      <c r="C920" s="12"/>
      <c r="D920" s="12"/>
    </row>
    <row r="921">
      <c r="B921" s="11" t="b">
        <v>0</v>
      </c>
      <c r="C921" s="12"/>
      <c r="D921" s="12"/>
    </row>
    <row r="922">
      <c r="B922" s="11" t="b">
        <v>0</v>
      </c>
      <c r="C922" s="12"/>
      <c r="D922" s="12"/>
    </row>
    <row r="923">
      <c r="B923" s="11" t="b">
        <v>0</v>
      </c>
      <c r="C923" s="12"/>
      <c r="D923" s="12"/>
    </row>
    <row r="924">
      <c r="B924" s="11" t="b">
        <v>0</v>
      </c>
      <c r="C924" s="12"/>
      <c r="D924" s="12"/>
    </row>
    <row r="925">
      <c r="B925" s="11" t="b">
        <v>0</v>
      </c>
      <c r="C925" s="12"/>
      <c r="D925" s="12"/>
    </row>
    <row r="926">
      <c r="B926" s="11" t="b">
        <v>0</v>
      </c>
      <c r="C926" s="12"/>
      <c r="D926" s="12"/>
    </row>
    <row r="927">
      <c r="B927" s="11" t="b">
        <v>0</v>
      </c>
      <c r="C927" s="12"/>
      <c r="D927" s="12"/>
    </row>
    <row r="928">
      <c r="B928" s="11" t="b">
        <v>0</v>
      </c>
      <c r="C928" s="12"/>
      <c r="D928" s="12"/>
    </row>
    <row r="929">
      <c r="B929" s="11" t="b">
        <v>0</v>
      </c>
      <c r="C929" s="12"/>
      <c r="D929" s="12"/>
    </row>
    <row r="930">
      <c r="B930" s="11" t="b">
        <v>0</v>
      </c>
      <c r="C930" s="12"/>
      <c r="D930" s="12"/>
    </row>
    <row r="931">
      <c r="B931" s="11" t="b">
        <v>0</v>
      </c>
      <c r="C931" s="12"/>
      <c r="D931" s="12"/>
    </row>
    <row r="932">
      <c r="B932" s="11" t="b">
        <v>0</v>
      </c>
      <c r="C932" s="12"/>
      <c r="D932" s="12"/>
    </row>
    <row r="933">
      <c r="B933" s="11" t="b">
        <v>0</v>
      </c>
      <c r="C933" s="12"/>
      <c r="D933" s="12"/>
    </row>
    <row r="934">
      <c r="B934" s="11" t="b">
        <v>0</v>
      </c>
      <c r="C934" s="12"/>
      <c r="D934" s="12"/>
    </row>
    <row r="935">
      <c r="B935" s="11" t="b">
        <v>0</v>
      </c>
      <c r="C935" s="12"/>
      <c r="D935" s="12"/>
    </row>
    <row r="936">
      <c r="B936" s="11" t="b">
        <v>0</v>
      </c>
      <c r="C936" s="12"/>
      <c r="D936" s="12"/>
    </row>
    <row r="937">
      <c r="B937" s="11" t="b">
        <v>0</v>
      </c>
      <c r="C937" s="12"/>
      <c r="D937" s="12"/>
    </row>
    <row r="938">
      <c r="B938" s="11" t="b">
        <v>0</v>
      </c>
      <c r="C938" s="12"/>
      <c r="D938" s="12"/>
    </row>
    <row r="939">
      <c r="B939" s="11" t="b">
        <v>0</v>
      </c>
      <c r="C939" s="12"/>
      <c r="D939" s="12"/>
    </row>
    <row r="940">
      <c r="B940" s="11" t="b">
        <v>0</v>
      </c>
      <c r="C940" s="12"/>
      <c r="D940" s="12"/>
    </row>
    <row r="941">
      <c r="B941" s="11" t="b">
        <v>0</v>
      </c>
      <c r="C941" s="12"/>
      <c r="D941" s="12"/>
    </row>
    <row r="942">
      <c r="B942" s="11" t="b">
        <v>0</v>
      </c>
      <c r="C942" s="12"/>
      <c r="D942" s="12"/>
    </row>
    <row r="943">
      <c r="B943" s="11" t="b">
        <v>0</v>
      </c>
      <c r="C943" s="12"/>
      <c r="D943" s="12"/>
    </row>
    <row r="944">
      <c r="B944" s="11" t="b">
        <v>0</v>
      </c>
      <c r="C944" s="12"/>
      <c r="D944" s="12"/>
    </row>
    <row r="945">
      <c r="B945" s="11" t="b">
        <v>0</v>
      </c>
      <c r="C945" s="12"/>
      <c r="D945" s="12"/>
    </row>
    <row r="946">
      <c r="B946" s="11" t="b">
        <v>0</v>
      </c>
      <c r="C946" s="12"/>
      <c r="D946" s="12"/>
    </row>
    <row r="947">
      <c r="B947" s="11" t="b">
        <v>0</v>
      </c>
      <c r="C947" s="12"/>
      <c r="D947" s="12"/>
    </row>
    <row r="948">
      <c r="B948" s="11" t="b">
        <v>0</v>
      </c>
      <c r="C948" s="12"/>
      <c r="D948" s="12"/>
    </row>
    <row r="949">
      <c r="B949" s="11" t="b">
        <v>0</v>
      </c>
      <c r="C949" s="12"/>
      <c r="D949" s="12"/>
    </row>
    <row r="950">
      <c r="B950" s="11" t="b">
        <v>0</v>
      </c>
      <c r="C950" s="12"/>
      <c r="D950" s="12"/>
    </row>
    <row r="951">
      <c r="B951" s="11" t="b">
        <v>0</v>
      </c>
      <c r="C951" s="12"/>
      <c r="D951" s="12"/>
    </row>
    <row r="952">
      <c r="B952" s="11" t="b">
        <v>0</v>
      </c>
      <c r="C952" s="12"/>
      <c r="D952" s="12"/>
    </row>
    <row r="953">
      <c r="B953" s="11" t="b">
        <v>0</v>
      </c>
      <c r="C953" s="12"/>
      <c r="D953" s="12"/>
    </row>
    <row r="954">
      <c r="B954" s="11" t="b">
        <v>0</v>
      </c>
      <c r="C954" s="12"/>
      <c r="D954" s="12"/>
    </row>
    <row r="955">
      <c r="B955" s="11" t="b">
        <v>0</v>
      </c>
      <c r="C955" s="12"/>
      <c r="D955" s="12"/>
    </row>
    <row r="956">
      <c r="B956" s="11" t="b">
        <v>0</v>
      </c>
      <c r="C956" s="12"/>
      <c r="D956" s="12"/>
    </row>
    <row r="957">
      <c r="B957" s="11" t="b">
        <v>0</v>
      </c>
      <c r="C957" s="12"/>
      <c r="D957" s="12"/>
    </row>
    <row r="958">
      <c r="B958" s="11" t="b">
        <v>0</v>
      </c>
      <c r="C958" s="12"/>
      <c r="D958" s="12"/>
    </row>
    <row r="959">
      <c r="B959" s="11" t="b">
        <v>0</v>
      </c>
      <c r="C959" s="12"/>
      <c r="D959" s="12"/>
    </row>
    <row r="960">
      <c r="B960" s="11" t="b">
        <v>0</v>
      </c>
      <c r="C960" s="12"/>
      <c r="D960" s="12"/>
    </row>
    <row r="961">
      <c r="B961" s="11" t="b">
        <v>0</v>
      </c>
      <c r="C961" s="12"/>
      <c r="D961" s="12"/>
    </row>
    <row r="962">
      <c r="B962" s="11" t="b">
        <v>0</v>
      </c>
      <c r="C962" s="12"/>
      <c r="D962" s="12"/>
    </row>
    <row r="963">
      <c r="B963" s="11" t="b">
        <v>0</v>
      </c>
      <c r="C963" s="12"/>
      <c r="D963" s="12"/>
    </row>
    <row r="964">
      <c r="B964" s="11" t="b">
        <v>0</v>
      </c>
      <c r="C964" s="12"/>
      <c r="D964" s="12"/>
    </row>
    <row r="965">
      <c r="B965" s="11" t="b">
        <v>0</v>
      </c>
      <c r="C965" s="12"/>
      <c r="D965" s="12"/>
    </row>
    <row r="966">
      <c r="B966" s="11" t="b">
        <v>0</v>
      </c>
      <c r="C966" s="12"/>
      <c r="D966" s="12"/>
    </row>
    <row r="967">
      <c r="B967" s="11" t="b">
        <v>0</v>
      </c>
      <c r="C967" s="12"/>
      <c r="D967" s="12"/>
    </row>
    <row r="968">
      <c r="B968" s="11" t="b">
        <v>0</v>
      </c>
      <c r="C968" s="12"/>
      <c r="D968" s="12"/>
    </row>
    <row r="969">
      <c r="B969" s="11" t="b">
        <v>0</v>
      </c>
      <c r="C969" s="12"/>
      <c r="D969" s="12"/>
    </row>
    <row r="970">
      <c r="B970" s="11" t="b">
        <v>0</v>
      </c>
      <c r="C970" s="12"/>
      <c r="D970" s="12"/>
    </row>
    <row r="971">
      <c r="B971" s="11" t="b">
        <v>0</v>
      </c>
      <c r="C971" s="12"/>
      <c r="D971" s="12"/>
    </row>
    <row r="972">
      <c r="B972" s="11" t="b">
        <v>0</v>
      </c>
      <c r="C972" s="12"/>
      <c r="D972" s="12"/>
    </row>
    <row r="973">
      <c r="B973" s="11" t="b">
        <v>0</v>
      </c>
      <c r="C973" s="12"/>
      <c r="D973" s="12"/>
    </row>
    <row r="974">
      <c r="B974" s="11" t="b">
        <v>0</v>
      </c>
      <c r="C974" s="12"/>
      <c r="D974" s="12"/>
    </row>
    <row r="975">
      <c r="B975" s="11" t="b">
        <v>0</v>
      </c>
      <c r="C975" s="12"/>
      <c r="D975" s="12"/>
    </row>
    <row r="976">
      <c r="B976" s="11" t="b">
        <v>0</v>
      </c>
      <c r="C976" s="12"/>
      <c r="D976" s="12"/>
    </row>
    <row r="977">
      <c r="B977" s="11" t="b">
        <v>0</v>
      </c>
      <c r="C977" s="12"/>
      <c r="D977" s="12"/>
    </row>
    <row r="978">
      <c r="B978" s="11" t="b">
        <v>0</v>
      </c>
      <c r="C978" s="12"/>
      <c r="D978" s="12"/>
    </row>
    <row r="979">
      <c r="B979" s="11" t="b">
        <v>0</v>
      </c>
      <c r="C979" s="12"/>
      <c r="D979" s="12"/>
    </row>
    <row r="980">
      <c r="B980" s="11" t="b">
        <v>0</v>
      </c>
      <c r="C980" s="12"/>
      <c r="D980" s="12"/>
    </row>
    <row r="981">
      <c r="B981" s="11" t="b">
        <v>0</v>
      </c>
      <c r="C981" s="12"/>
      <c r="D981" s="12"/>
    </row>
    <row r="982">
      <c r="B982" s="11" t="b">
        <v>0</v>
      </c>
      <c r="C982" s="12"/>
      <c r="D982" s="12"/>
    </row>
    <row r="983">
      <c r="B983" s="11" t="b">
        <v>0</v>
      </c>
      <c r="C983" s="12"/>
      <c r="D983" s="12"/>
    </row>
    <row r="984">
      <c r="B984" s="11" t="b">
        <v>0</v>
      </c>
      <c r="C984" s="12"/>
      <c r="D984" s="12"/>
    </row>
    <row r="985">
      <c r="B985" s="11" t="b">
        <v>0</v>
      </c>
      <c r="C985" s="12"/>
      <c r="D985" s="12"/>
    </row>
    <row r="986">
      <c r="B986" s="11" t="b">
        <v>0</v>
      </c>
      <c r="C986" s="12"/>
      <c r="D986" s="12"/>
    </row>
    <row r="987">
      <c r="B987" s="11" t="b">
        <v>0</v>
      </c>
      <c r="C987" s="12"/>
      <c r="D987" s="12"/>
    </row>
    <row r="988">
      <c r="B988" s="11" t="b">
        <v>0</v>
      </c>
      <c r="C988" s="12"/>
      <c r="D988" s="12"/>
    </row>
    <row r="989">
      <c r="B989" s="11" t="b">
        <v>0</v>
      </c>
      <c r="C989" s="12"/>
      <c r="D989" s="12"/>
    </row>
    <row r="990">
      <c r="B990" s="11" t="b">
        <v>0</v>
      </c>
      <c r="C990" s="12"/>
      <c r="D990" s="12"/>
    </row>
    <row r="991">
      <c r="B991" s="11" t="b">
        <v>0</v>
      </c>
      <c r="C991" s="12"/>
      <c r="D991" s="12"/>
    </row>
    <row r="992">
      <c r="B992" s="11" t="b">
        <v>0</v>
      </c>
      <c r="C992" s="12"/>
      <c r="D992" s="12"/>
    </row>
    <row r="993">
      <c r="B993" s="11" t="b">
        <v>0</v>
      </c>
      <c r="C993" s="12"/>
      <c r="D993" s="12"/>
    </row>
    <row r="994">
      <c r="B994" s="11" t="b">
        <v>0</v>
      </c>
      <c r="C994" s="12"/>
      <c r="D994" s="12"/>
    </row>
    <row r="995">
      <c r="B995" s="11" t="b">
        <v>0</v>
      </c>
      <c r="C995" s="12"/>
      <c r="D995" s="12"/>
    </row>
    <row r="996">
      <c r="B996" s="11" t="b">
        <v>0</v>
      </c>
      <c r="C996" s="12"/>
      <c r="D996" s="12"/>
    </row>
    <row r="997">
      <c r="B997" s="11" t="b">
        <v>0</v>
      </c>
      <c r="C997" s="12"/>
      <c r="D997" s="12"/>
    </row>
    <row r="998">
      <c r="B998" s="11" t="b">
        <v>0</v>
      </c>
      <c r="C998" s="12"/>
      <c r="D998" s="12"/>
    </row>
    <row r="999">
      <c r="B999" s="11" t="b">
        <v>0</v>
      </c>
      <c r="C999" s="12"/>
      <c r="D999" s="12"/>
    </row>
    <row r="1000">
      <c r="B1000" s="11" t="b">
        <v>0</v>
      </c>
      <c r="C1000" s="12"/>
      <c r="D1000" s="12"/>
    </row>
  </sheetData>
  <conditionalFormatting sqref="I1:I1000 L171:L172">
    <cfRule type="expression" dxfId="0" priority="1">
      <formula>AND(ISNUMBER(I1),TRUNC(I1)&lt;TODAY())</formula>
    </cfRule>
  </conditionalFormatting>
  <conditionalFormatting sqref="I1:I1000 L171:L172">
    <cfRule type="timePeriod" dxfId="1" priority="2" timePeriod="today"/>
  </conditionalFormatting>
  <conditionalFormatting sqref="I1:I1000 L171:L172">
    <cfRule type="timePeriod" dxfId="1" priority="3" timePeriod="tomorrow"/>
  </conditionalFormatting>
  <conditionalFormatting sqref="I1:I1000 L171:L172">
    <cfRule type="expression" dxfId="2" priority="10">
      <formula>AND(ISNUMBER(I1),TRUNC(I1)&gt;TODAY())</formula>
    </cfRule>
  </conditionalFormatting>
  <conditionalFormatting sqref="J2:J1000 M171:M172">
    <cfRule type="expression" dxfId="3" priority="11">
      <formula>AND(ISNUMBER(J2),TRUNC(J2)&lt;TODAY())</formula>
    </cfRule>
  </conditionalFormatting>
  <conditionalFormatting sqref="J2:J1000 M171:M172">
    <cfRule type="timePeriod" dxfId="4" priority="12" timePeriod="today"/>
  </conditionalFormatting>
  <conditionalFormatting sqref="J2:J1000 M171:M172">
    <cfRule type="timePeriod" dxfId="4" priority="13" timePeriod="tomorrow"/>
  </conditionalFormatting>
  <conditionalFormatting sqref="J2:J1000 M171:M172">
    <cfRule type="expression" dxfId="2" priority="19">
      <formula>AND(ISNUMBER(J2),TRUNC(J2)&gt;TODAY())</formula>
    </cfRule>
  </conditionalFormatting>
  <dataValidations>
    <dataValidation type="list" allowBlank="1" sqref="E2:E526">
      <formula1>"Viola,Verde,Blu,Giallo,Rosso,Nero,Arancione,Rosa,Grigio,Menta"</formula1>
    </dataValidation>
    <dataValidation type="list" allowBlank="1" showErrorMessage="1" sqref="C2:C526">
      <formula1>"Smile,Bianco,Giallo,Blu,Verde,Rosso"</formula1>
    </dataValidation>
    <dataValidation type="list" allowBlank="1" sqref="K2:K526">
      <formula1>"T20,T25"</formula1>
    </dataValidation>
    <dataValidation type="list" allowBlank="1" sqref="F2:F526">
      <formula1>"New strapiombo,New verticale,New placca,sx legg. strapiombo,sx big strapiombo,verticale,dx prua,dx verticale,dx placca"</formula1>
    </dataValidation>
    <dataValidation type="list" allowBlank="1" sqref="G2:G526">
      <formula1>"Andrea,Giulio,Dani,Leonardo M,Nathan,Leo A,Altri"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2.0"/>
    <col customWidth="1" min="3" max="3" width="10.25"/>
    <col customWidth="1" min="5" max="5" width="10.0"/>
    <col customWidth="1" min="6" max="6" width="8.5"/>
  </cols>
  <sheetData>
    <row r="1">
      <c r="A1" s="13" t="s">
        <v>42</v>
      </c>
      <c r="B1" s="14"/>
      <c r="D1" s="15" t="s">
        <v>43</v>
      </c>
      <c r="E1" s="14"/>
      <c r="F1" s="16" t="s">
        <v>44</v>
      </c>
    </row>
    <row r="2">
      <c r="A2" s="16" t="s">
        <v>45</v>
      </c>
      <c r="B2" s="16" t="s">
        <v>46</v>
      </c>
      <c r="D2" s="17" t="s">
        <v>47</v>
      </c>
      <c r="E2" s="18">
        <f>COUNTIF('Blocchi25-26'!B:B, TRUE())</f>
        <v>68</v>
      </c>
      <c r="F2" s="19">
        <f>Sum(F3:F8)</f>
        <v>65</v>
      </c>
    </row>
    <row r="3">
      <c r="A3" s="20" t="s">
        <v>16</v>
      </c>
      <c r="B3" s="21">
        <v>14.0</v>
      </c>
      <c r="C3" s="22"/>
      <c r="D3" s="20" t="s">
        <v>16</v>
      </c>
      <c r="E3" s="23">
        <f>COUNTIFS('Blocchi25-26'!C:C, "Smile",'Blocchi25-26'!B:B, TRUE())</f>
        <v>10</v>
      </c>
      <c r="F3" s="19">
        <v>10.0</v>
      </c>
    </row>
    <row r="4">
      <c r="A4" s="24" t="s">
        <v>21</v>
      </c>
      <c r="B4" s="25">
        <v>14.0</v>
      </c>
      <c r="C4" s="26"/>
      <c r="D4" s="24" t="s">
        <v>21</v>
      </c>
      <c r="E4" s="27">
        <f>COUNTIFS('Blocchi25-26'!C:C, "Bianco",'Blocchi25-26'!B:B, TRUE())</f>
        <v>16</v>
      </c>
      <c r="F4" s="19">
        <v>15.0</v>
      </c>
    </row>
    <row r="5">
      <c r="A5" s="28" t="s">
        <v>18</v>
      </c>
      <c r="B5" s="21">
        <v>30.0</v>
      </c>
      <c r="D5" s="28" t="s">
        <v>18</v>
      </c>
      <c r="E5" s="23">
        <f>COUNTIFS('Blocchi25-26'!C:C, "GIallo",'Blocchi25-26'!B:B, TRUE())</f>
        <v>15</v>
      </c>
      <c r="F5" s="19">
        <v>15.0</v>
      </c>
    </row>
    <row r="6">
      <c r="A6" s="29" t="s">
        <v>12</v>
      </c>
      <c r="B6" s="25">
        <v>30.0</v>
      </c>
      <c r="D6" s="29" t="s">
        <v>12</v>
      </c>
      <c r="E6" s="27">
        <f>COUNTIFS('Blocchi25-26'!C:C, "Blu",'Blocchi25-26'!B:B, TRUE())</f>
        <v>15</v>
      </c>
      <c r="F6" s="19">
        <v>15.0</v>
      </c>
    </row>
    <row r="7">
      <c r="A7" s="30" t="s">
        <v>11</v>
      </c>
      <c r="B7" s="21">
        <v>21.0</v>
      </c>
      <c r="D7" s="30" t="s">
        <v>11</v>
      </c>
      <c r="E7" s="23">
        <f>COUNTIFS('Blocchi25-26'!C:C, "Verde",'Blocchi25-26'!B:B, TRUE())</f>
        <v>7</v>
      </c>
      <c r="F7" s="19">
        <v>5.0</v>
      </c>
    </row>
    <row r="8">
      <c r="A8" s="31" t="s">
        <v>23</v>
      </c>
      <c r="B8" s="25">
        <v>21.0</v>
      </c>
      <c r="D8" s="31" t="s">
        <v>23</v>
      </c>
      <c r="E8" s="27">
        <f>COUNTIFS('Blocchi25-26'!C:C, "Rosso",'Blocchi25-26'!B:B, TRUE())</f>
        <v>5</v>
      </c>
      <c r="F8" s="32">
        <v>5.0</v>
      </c>
    </row>
    <row r="9">
      <c r="A9" s="33"/>
      <c r="D9" s="34"/>
      <c r="E9" s="33"/>
      <c r="F9" s="33"/>
    </row>
    <row r="10">
      <c r="A10" s="35" t="s">
        <v>48</v>
      </c>
      <c r="B10" s="36"/>
      <c r="D10" s="37"/>
      <c r="E10" s="37"/>
      <c r="F10" s="37"/>
    </row>
    <row r="11">
      <c r="A11" s="38" t="s">
        <v>49</v>
      </c>
      <c r="B11" s="38" t="s">
        <v>50</v>
      </c>
      <c r="C11" s="39"/>
      <c r="D11" s="22"/>
      <c r="F11" s="22"/>
    </row>
    <row r="12">
      <c r="A12" s="40">
        <f>E2-B12</f>
        <v>49</v>
      </c>
      <c r="B12" s="41">
        <f>COUNTIFS('Blocchi25-26'!F:F,"New*", 'Blocchi25-26'!B:B, TRUE())</f>
        <v>19</v>
      </c>
      <c r="C12" s="42"/>
      <c r="D12" s="43"/>
      <c r="F12" s="44"/>
    </row>
    <row r="13">
      <c r="A13" s="45"/>
      <c r="B13" s="46"/>
      <c r="C13" s="47"/>
      <c r="D13" s="48"/>
      <c r="F13" s="49"/>
    </row>
    <row r="14">
      <c r="A14" s="50"/>
      <c r="B14" s="51"/>
      <c r="C14" s="42"/>
      <c r="D14" s="43"/>
      <c r="F14" s="44"/>
    </row>
    <row r="15">
      <c r="A15" s="45"/>
      <c r="B15" s="46"/>
      <c r="C15" s="47"/>
      <c r="D15" s="48"/>
      <c r="F15" s="49"/>
      <c r="G15" s="52"/>
    </row>
    <row r="16">
      <c r="A16" s="50"/>
      <c r="B16" s="51"/>
      <c r="C16" s="42"/>
      <c r="D16" s="43"/>
      <c r="F16" s="44"/>
      <c r="G16" s="6"/>
    </row>
    <row r="17">
      <c r="A17" s="45"/>
      <c r="B17" s="46"/>
      <c r="C17" s="47"/>
      <c r="D17" s="48"/>
      <c r="F17" s="49"/>
      <c r="G17" s="6"/>
    </row>
    <row r="18">
      <c r="A18" s="50"/>
      <c r="B18" s="51"/>
      <c r="C18" s="42"/>
      <c r="D18" s="43"/>
      <c r="F18" s="44"/>
      <c r="G18" s="6"/>
    </row>
    <row r="19">
      <c r="G19" s="52"/>
    </row>
    <row r="20">
      <c r="G20" s="52"/>
    </row>
  </sheetData>
  <mergeCells count="4">
    <mergeCell ref="A1:B1"/>
    <mergeCell ref="D1:E1"/>
    <mergeCell ref="A10:B10"/>
    <mergeCell ref="D11:E11"/>
  </mergeCells>
  <conditionalFormatting sqref="E2">
    <cfRule type="cellIs" dxfId="3" priority="1" operator="lessThan">
      <formula>65</formula>
    </cfRule>
  </conditionalFormatting>
  <conditionalFormatting sqref="E3">
    <cfRule type="cellIs" dxfId="3" priority="2" operator="lessThan">
      <formula>10</formula>
    </cfRule>
  </conditionalFormatting>
  <conditionalFormatting sqref="E4">
    <cfRule type="cellIs" dxfId="3" priority="3" operator="lessThan">
      <formula>15</formula>
    </cfRule>
  </conditionalFormatting>
  <conditionalFormatting sqref="E5">
    <cfRule type="cellIs" dxfId="3" priority="4" operator="lessThan">
      <formula>15</formula>
    </cfRule>
  </conditionalFormatting>
  <conditionalFormatting sqref="E6">
    <cfRule type="cellIs" dxfId="3" priority="5" operator="lessThan">
      <formula>15</formula>
    </cfRule>
  </conditionalFormatting>
  <conditionalFormatting sqref="E8">
    <cfRule type="cellIs" dxfId="3" priority="6" operator="lessThan">
      <formula>5</formula>
    </cfRule>
  </conditionalFormatting>
  <conditionalFormatting sqref="E2:E8">
    <cfRule type="notContainsBlanks" dxfId="2" priority="7">
      <formula>LEN(TRIM(E2))&gt;0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3.25"/>
    <col customWidth="1" min="3" max="3" width="15.63"/>
    <col customWidth="1" min="4" max="4" width="18.25"/>
    <col customWidth="1" min="5" max="5" width="20.5"/>
    <col customWidth="1" min="6" max="6" width="17.25"/>
    <col customWidth="1" min="7" max="7" width="12.75"/>
    <col customWidth="1" min="8" max="8" width="13.38"/>
    <col customWidth="1" min="9" max="9" width="10.88"/>
    <col customWidth="1" min="10" max="11" width="13.38"/>
  </cols>
  <sheetData>
    <row r="1" ht="39.75" customHeight="1">
      <c r="A1" s="53" t="s">
        <v>0</v>
      </c>
      <c r="B1" s="53" t="s">
        <v>45</v>
      </c>
      <c r="C1" s="54" t="s">
        <v>51</v>
      </c>
      <c r="D1" s="55" t="s">
        <v>52</v>
      </c>
      <c r="E1" s="56" t="s">
        <v>53</v>
      </c>
      <c r="F1" s="53" t="s">
        <v>54</v>
      </c>
      <c r="G1" s="53" t="s">
        <v>55</v>
      </c>
      <c r="H1" s="53" t="s">
        <v>56</v>
      </c>
      <c r="I1" s="57" t="s">
        <v>57</v>
      </c>
      <c r="J1" s="58" t="s">
        <v>58</v>
      </c>
      <c r="K1" s="58" t="s">
        <v>59</v>
      </c>
      <c r="L1" s="58" t="s">
        <v>60</v>
      </c>
    </row>
    <row r="2" ht="22.5" customHeight="1">
      <c r="A2" s="59">
        <v>1.0</v>
      </c>
      <c r="B2" s="60" t="s">
        <v>12</v>
      </c>
      <c r="C2" s="61">
        <v>13.0</v>
      </c>
      <c r="D2" s="62"/>
      <c r="E2" s="63"/>
      <c r="F2" s="63"/>
      <c r="G2" s="64">
        <v>45670.0</v>
      </c>
      <c r="H2" s="65">
        <f>IF(B2 = "Smile", G2 + 'Over View'!$B$3, IF(B2 = "Bianco" , G2 + 'Over View'!$B$4, IF(B2 = "Giallo" , G2 + 'Over View'!$B$5, IF(B2 = "Blu" , G2 + 'Over View'!$B$6, IF(B2 = "Verde" , G2 + 'Over View'!$B$7, IF(B2 = "Rosso" , G2 + 'Over View'!$B$8, "Grado Non Inserito") )))))</f>
        <v>45700</v>
      </c>
      <c r="I2" s="66" t="b">
        <v>0</v>
      </c>
      <c r="J2" s="67"/>
      <c r="K2" s="68">
        <v>45681.0</v>
      </c>
      <c r="L2" s="69" t="str">
        <f t="shared" ref="L2:L501" si="1">IF(I2 = TRUE(), "on set", "off set")</f>
        <v>off set</v>
      </c>
    </row>
    <row r="3" ht="22.5" customHeight="1">
      <c r="A3" s="59">
        <v>2.0</v>
      </c>
      <c r="B3" s="60" t="s">
        <v>18</v>
      </c>
      <c r="C3" s="61">
        <v>18.0</v>
      </c>
      <c r="D3" s="62"/>
      <c r="E3" s="63"/>
      <c r="F3" s="63"/>
      <c r="G3" s="64">
        <v>45670.0</v>
      </c>
      <c r="H3" s="65">
        <f>IF(B3 = "Smile", G3 + 'Over View'!$B$3, IF(B3 = "Bianco" , G3 + 'Over View'!$B$4, IF(B3 = "Giallo" , G3 + 'Over View'!$B$5, IF(B3 = "Blu" , G3 + 'Over View'!$B$6, IF(B3 = "Verde" , G3 + 'Over View'!$B$7, IF(B3 = "Rosso" , G3 + 'Over View'!$B$8, "Grado Non Inserito") )))))</f>
        <v>45700</v>
      </c>
      <c r="I3" s="66" t="b">
        <v>0</v>
      </c>
      <c r="J3" s="67"/>
      <c r="K3" s="68">
        <v>45681.0</v>
      </c>
      <c r="L3" s="69" t="str">
        <f t="shared" si="1"/>
        <v>off set</v>
      </c>
    </row>
    <row r="4" ht="22.5" customHeight="1">
      <c r="A4" s="59">
        <v>3.0</v>
      </c>
      <c r="B4" s="60" t="s">
        <v>18</v>
      </c>
      <c r="C4" s="61">
        <v>10.0</v>
      </c>
      <c r="D4" s="62"/>
      <c r="E4" s="63"/>
      <c r="F4" s="63"/>
      <c r="G4" s="64">
        <v>45670.0</v>
      </c>
      <c r="H4" s="65">
        <f>IF(B4 = "Smile", G4 + 'Over View'!$B$3, IF(B4 = "Bianco" , G4 + 'Over View'!$B$4, IF(B4 = "Giallo" , G4 + 'Over View'!$B$5, IF(B4 = "Blu" , G4 + 'Over View'!$B$6, IF(B4 = "Verde" , G4 + 'Over View'!$B$7, IF(B4 = "Rosso" , G4 + 'Over View'!$B$8, "Grado Non Inserito") )))))</f>
        <v>45700</v>
      </c>
      <c r="I4" s="66" t="b">
        <v>0</v>
      </c>
      <c r="J4" s="67"/>
      <c r="K4" s="68">
        <v>45681.0</v>
      </c>
      <c r="L4" s="69" t="str">
        <f t="shared" si="1"/>
        <v>off set</v>
      </c>
    </row>
    <row r="5" ht="22.5" customHeight="1">
      <c r="A5" s="59">
        <v>4.0</v>
      </c>
      <c r="B5" s="60" t="s">
        <v>12</v>
      </c>
      <c r="C5" s="61">
        <v>15.0</v>
      </c>
      <c r="D5" s="62"/>
      <c r="E5" s="63"/>
      <c r="F5" s="63"/>
      <c r="G5" s="64">
        <v>45670.0</v>
      </c>
      <c r="H5" s="65">
        <f>IF(B5 = "Smile", G5 + 'Over View'!$B$3, IF(B5 = "Bianco" , G5 + 'Over View'!$B$4, IF(B5 = "Giallo" , G5 + 'Over View'!$B$5, IF(B5 = "Blu" , G5 + 'Over View'!$B$6, IF(B5 = "Verde" , G5 + 'Over View'!$B$7, IF(B5 = "Rosso" , G5 + 'Over View'!$B$8, "Grado Non Inserito") )))))</f>
        <v>45700</v>
      </c>
      <c r="I5" s="66" t="b">
        <v>0</v>
      </c>
      <c r="J5" s="67"/>
      <c r="K5" s="68">
        <v>45681.0</v>
      </c>
      <c r="L5" s="69" t="str">
        <f t="shared" si="1"/>
        <v>off set</v>
      </c>
    </row>
    <row r="6" ht="22.5" customHeight="1">
      <c r="A6" s="59">
        <v>5.0</v>
      </c>
      <c r="B6" s="60" t="s">
        <v>21</v>
      </c>
      <c r="C6" s="61">
        <v>6.0</v>
      </c>
      <c r="D6" s="62"/>
      <c r="E6" s="63"/>
      <c r="F6" s="63"/>
      <c r="G6" s="64">
        <v>45670.0</v>
      </c>
      <c r="H6" s="65">
        <f>IF(B6 = "Smile", G6 + 'Over View'!$B$3, IF(B6 = "Bianco" , G6 + 'Over View'!$B$4, IF(B6 = "Giallo" , G6 + 'Over View'!$B$5, IF(B6 = "Blu" , G6 + 'Over View'!$B$6, IF(B6 = "Verde" , G6 + 'Over View'!$B$7, IF(B6 = "Rosso" , G6 + 'Over View'!$B$8, "Grado Non Inserito") )))))</f>
        <v>45684</v>
      </c>
      <c r="I6" s="66" t="b">
        <v>0</v>
      </c>
      <c r="J6" s="67"/>
      <c r="K6" s="68">
        <v>45681.0</v>
      </c>
      <c r="L6" s="69" t="str">
        <f t="shared" si="1"/>
        <v>off set</v>
      </c>
    </row>
    <row r="7" ht="22.5" customHeight="1">
      <c r="A7" s="59">
        <v>6.0</v>
      </c>
      <c r="B7" s="60" t="s">
        <v>11</v>
      </c>
      <c r="C7" s="61">
        <v>13.0</v>
      </c>
      <c r="D7" s="62"/>
      <c r="E7" s="63"/>
      <c r="F7" s="63"/>
      <c r="G7" s="64">
        <v>45670.0</v>
      </c>
      <c r="H7" s="65">
        <f>IF(B7 = "Smile", G7 + 'Over View'!$B$3, IF(B7 = "Bianco" , G7 + 'Over View'!$B$4, IF(B7 = "Giallo" , G7 + 'Over View'!$B$5, IF(B7 = "Blu" , G7 + 'Over View'!$B$6, IF(B7 = "Verde" , G7 + 'Over View'!$B$7, IF(B7 = "Rosso" , G7 + 'Over View'!$B$8, "Grado Non Inserito") )))))</f>
        <v>45691</v>
      </c>
      <c r="I7" s="66" t="b">
        <v>0</v>
      </c>
      <c r="J7" s="67"/>
      <c r="K7" s="68">
        <v>45681.0</v>
      </c>
      <c r="L7" s="69" t="str">
        <f t="shared" si="1"/>
        <v>off set</v>
      </c>
    </row>
    <row r="8" ht="22.5" customHeight="1">
      <c r="A8" s="59">
        <v>7.0</v>
      </c>
      <c r="B8" s="60" t="s">
        <v>21</v>
      </c>
      <c r="C8" s="61">
        <v>19.0</v>
      </c>
      <c r="D8" s="62"/>
      <c r="E8" s="63"/>
      <c r="F8" s="63"/>
      <c r="G8" s="64">
        <v>45670.0</v>
      </c>
      <c r="H8" s="65">
        <f>IF(B8 = "Smile", G8 + 'Over View'!$B$3, IF(B8 = "Bianco" , G8 + 'Over View'!$B$4, IF(B8 = "Giallo" , G8 + 'Over View'!$B$5, IF(B8 = "Blu" , G8 + 'Over View'!$B$6, IF(B8 = "Verde" , G8 + 'Over View'!$B$7, IF(B8 = "Rosso" , G8 + 'Over View'!$B$8, "Grado Non Inserito") )))))</f>
        <v>45684</v>
      </c>
      <c r="I8" s="66" t="b">
        <v>0</v>
      </c>
      <c r="J8" s="67"/>
      <c r="K8" s="68">
        <v>45681.0</v>
      </c>
      <c r="L8" s="69" t="str">
        <f t="shared" si="1"/>
        <v>off set</v>
      </c>
    </row>
    <row r="9" ht="22.5" customHeight="1">
      <c r="A9" s="59">
        <v>8.0</v>
      </c>
      <c r="B9" s="60" t="s">
        <v>16</v>
      </c>
      <c r="C9" s="61">
        <v>8.0</v>
      </c>
      <c r="D9" s="62"/>
      <c r="E9" s="63"/>
      <c r="F9" s="63"/>
      <c r="G9" s="64">
        <v>45670.0</v>
      </c>
      <c r="H9" s="65">
        <f>IF(B9 = "Smile", G9 + 'Over View'!$B$3, IF(B9 = "Bianco" , G9 + 'Over View'!$B$4, IF(B9 = "Giallo" , G9 + 'Over View'!$B$5, IF(B9 = "Blu" , G9 + 'Over View'!$B$6, IF(B9 = "Verde" , G9 + 'Over View'!$B$7, IF(B9 = "Rosso" , G9 + 'Over View'!$B$8, "Grado Non Inserito") )))))</f>
        <v>45684</v>
      </c>
      <c r="I9" s="66" t="b">
        <v>0</v>
      </c>
      <c r="J9" s="67"/>
      <c r="K9" s="68">
        <v>45681.0</v>
      </c>
      <c r="L9" s="69" t="str">
        <f t="shared" si="1"/>
        <v>off set</v>
      </c>
    </row>
    <row r="10" ht="22.5" customHeight="1">
      <c r="A10" s="59">
        <v>9.0</v>
      </c>
      <c r="B10" s="60" t="s">
        <v>12</v>
      </c>
      <c r="C10" s="61">
        <v>17.0</v>
      </c>
      <c r="D10" s="62"/>
      <c r="E10" s="63"/>
      <c r="F10" s="63"/>
      <c r="G10" s="64">
        <v>45670.0</v>
      </c>
      <c r="H10" s="65">
        <f>IF(B10 = "Smile", G10 + 'Over View'!$B$3, IF(B10 = "Bianco" , G10 + 'Over View'!$B$4, IF(B10 = "Giallo" , G10 + 'Over View'!$B$5, IF(B10 = "Blu" , G10 + 'Over View'!$B$6, IF(B10 = "Verde" , G10 + 'Over View'!$B$7, IF(B10 = "Rosso" , G10 + 'Over View'!$B$8, "Grado Non Inserito") )))))</f>
        <v>45700</v>
      </c>
      <c r="I10" s="66" t="b">
        <v>0</v>
      </c>
      <c r="J10" s="67"/>
      <c r="K10" s="68">
        <v>45681.0</v>
      </c>
      <c r="L10" s="69" t="str">
        <f t="shared" si="1"/>
        <v>off set</v>
      </c>
    </row>
    <row r="11" ht="22.5" customHeight="1">
      <c r="A11" s="59">
        <v>10.0</v>
      </c>
      <c r="B11" s="60" t="s">
        <v>11</v>
      </c>
      <c r="C11" s="61">
        <v>14.0</v>
      </c>
      <c r="D11" s="62"/>
      <c r="E11" s="63"/>
      <c r="F11" s="63"/>
      <c r="G11" s="64">
        <v>45670.0</v>
      </c>
      <c r="H11" s="65">
        <f>IF(B11 = "Smile", G11 + 'Over View'!$B$3, IF(B11 = "Bianco" , G11 + 'Over View'!$B$4, IF(B11 = "Giallo" , G11 + 'Over View'!$B$5, IF(B11 = "Blu" , G11 + 'Over View'!$B$6, IF(B11 = "Verde" , G11 + 'Over View'!$B$7, IF(B11 = "Rosso" , G11 + 'Over View'!$B$8, "Grado Non Inserito") )))))</f>
        <v>45691</v>
      </c>
      <c r="I11" s="66" t="b">
        <v>0</v>
      </c>
      <c r="J11" s="67"/>
      <c r="K11" s="68">
        <v>45681.0</v>
      </c>
      <c r="L11" s="69" t="str">
        <f t="shared" si="1"/>
        <v>off set</v>
      </c>
    </row>
    <row r="12" ht="22.5" customHeight="1">
      <c r="A12" s="59">
        <v>11.0</v>
      </c>
      <c r="B12" s="60" t="s">
        <v>21</v>
      </c>
      <c r="C12" s="61">
        <v>16.0</v>
      </c>
      <c r="D12" s="62"/>
      <c r="E12" s="63"/>
      <c r="F12" s="63"/>
      <c r="G12" s="64">
        <v>45670.0</v>
      </c>
      <c r="H12" s="65">
        <f>IF(B12 = "Smile", G12 + 'Over View'!$B$3, IF(B12 = "Bianco" , G12 + 'Over View'!$B$4, IF(B12 = "Giallo" , G12 + 'Over View'!$B$5, IF(B12 = "Blu" , G12 + 'Over View'!$B$6, IF(B12 = "Verde" , G12 + 'Over View'!$B$7, IF(B12 = "Rosso" , G12 + 'Over View'!$B$8, "Grado Non Inserito") )))))</f>
        <v>45684</v>
      </c>
      <c r="I12" s="66" t="b">
        <v>0</v>
      </c>
      <c r="J12" s="67"/>
      <c r="K12" s="68">
        <v>45681.0</v>
      </c>
      <c r="L12" s="69" t="str">
        <f t="shared" si="1"/>
        <v>off set</v>
      </c>
    </row>
    <row r="13" ht="22.5" customHeight="1">
      <c r="A13" s="59">
        <v>12.0</v>
      </c>
      <c r="B13" s="60" t="s">
        <v>16</v>
      </c>
      <c r="C13" s="61">
        <v>12.0</v>
      </c>
      <c r="D13" s="62"/>
      <c r="E13" s="63"/>
      <c r="F13" s="63"/>
      <c r="G13" s="64">
        <v>45670.0</v>
      </c>
      <c r="H13" s="65">
        <f>IF(B13 = "Smile", G13 + 'Over View'!$B$3, IF(B13 = "Bianco" , G13 + 'Over View'!$B$4, IF(B13 = "Giallo" , G13 + 'Over View'!$B$5, IF(B13 = "Blu" , G13 + 'Over View'!$B$6, IF(B13 = "Verde" , G13 + 'Over View'!$B$7, IF(B13 = "Rosso" , G13 + 'Over View'!$B$8, "Grado Non Inserito") )))))</f>
        <v>45684</v>
      </c>
      <c r="I13" s="66" t="b">
        <v>0</v>
      </c>
      <c r="J13" s="67"/>
      <c r="K13" s="68">
        <v>45681.0</v>
      </c>
      <c r="L13" s="69" t="str">
        <f t="shared" si="1"/>
        <v>off set</v>
      </c>
    </row>
    <row r="14" ht="22.5" customHeight="1">
      <c r="A14" s="59">
        <v>13.0</v>
      </c>
      <c r="B14" s="60" t="s">
        <v>21</v>
      </c>
      <c r="C14" s="61">
        <v>17.0</v>
      </c>
      <c r="D14" s="62"/>
      <c r="E14" s="63"/>
      <c r="F14" s="63"/>
      <c r="G14" s="64">
        <v>45670.0</v>
      </c>
      <c r="H14" s="65">
        <f>IF(B14 = "Smile", G14 + 'Over View'!$B$3, IF(B14 = "Bianco" , G14 + 'Over View'!$B$4, IF(B14 = "Giallo" , G14 + 'Over View'!$B$5, IF(B14 = "Blu" , G14 + 'Over View'!$B$6, IF(B14 = "Verde" , G14 + 'Over View'!$B$7, IF(B14 = "Rosso" , G14 + 'Over View'!$B$8, "Grado Non Inserito") )))))</f>
        <v>45684</v>
      </c>
      <c r="I14" s="66" t="b">
        <v>0</v>
      </c>
      <c r="J14" s="67"/>
      <c r="K14" s="68">
        <v>45681.0</v>
      </c>
      <c r="L14" s="69" t="str">
        <f t="shared" si="1"/>
        <v>off set</v>
      </c>
    </row>
    <row r="15" ht="22.5" customHeight="1">
      <c r="A15" s="59">
        <v>14.0</v>
      </c>
      <c r="B15" s="60" t="s">
        <v>12</v>
      </c>
      <c r="C15" s="61">
        <v>14.0</v>
      </c>
      <c r="D15" s="62"/>
      <c r="E15" s="63"/>
      <c r="F15" s="63"/>
      <c r="G15" s="64">
        <v>45670.0</v>
      </c>
      <c r="H15" s="65">
        <f>IF(B15 = "Smile", G15 + 'Over View'!$B$3, IF(B15 = "Bianco" , G15 + 'Over View'!$B$4, IF(B15 = "Giallo" , G15 + 'Over View'!$B$5, IF(B15 = "Blu" , G15 + 'Over View'!$B$6, IF(B15 = "Verde" , G15 + 'Over View'!$B$7, IF(B15 = "Rosso" , G15 + 'Over View'!$B$8, "Grado Non Inserito") )))))</f>
        <v>45700</v>
      </c>
      <c r="I15" s="66" t="b">
        <v>0</v>
      </c>
      <c r="J15" s="67"/>
      <c r="K15" s="68">
        <v>45681.0</v>
      </c>
      <c r="L15" s="69" t="str">
        <f t="shared" si="1"/>
        <v>off set</v>
      </c>
    </row>
    <row r="16" ht="22.5" customHeight="1">
      <c r="A16" s="59">
        <v>15.0</v>
      </c>
      <c r="B16" s="60" t="s">
        <v>18</v>
      </c>
      <c r="C16" s="61">
        <v>15.0</v>
      </c>
      <c r="D16" s="62"/>
      <c r="E16" s="63"/>
      <c r="F16" s="63"/>
      <c r="G16" s="64">
        <v>45670.0</v>
      </c>
      <c r="H16" s="65">
        <f>IF(B16 = "Smile", G16 + 'Over View'!$B$3, IF(B16 = "Bianco" , G16 + 'Over View'!$B$4, IF(B16 = "Giallo" , G16 + 'Over View'!$B$5, IF(B16 = "Blu" , G16 + 'Over View'!$B$6, IF(B16 = "Verde" , G16 + 'Over View'!$B$7, IF(B16 = "Rosso" , G16 + 'Over View'!$B$8, "Grado Non Inserito") )))))</f>
        <v>45700</v>
      </c>
      <c r="I16" s="66" t="b">
        <v>0</v>
      </c>
      <c r="J16" s="67"/>
      <c r="K16" s="68">
        <v>45681.0</v>
      </c>
      <c r="L16" s="69" t="str">
        <f t="shared" si="1"/>
        <v>off set</v>
      </c>
    </row>
    <row r="17" ht="22.5" customHeight="1">
      <c r="A17" s="59">
        <v>16.0</v>
      </c>
      <c r="B17" s="60" t="s">
        <v>18</v>
      </c>
      <c r="C17" s="61">
        <v>7.0</v>
      </c>
      <c r="D17" s="62"/>
      <c r="E17" s="60" t="s">
        <v>13</v>
      </c>
      <c r="F17" s="60" t="s">
        <v>24</v>
      </c>
      <c r="G17" s="64">
        <v>45670.0</v>
      </c>
      <c r="H17" s="65">
        <f>IF(B17 = "Smile", G17 + 'Over View'!$B$3, IF(B17 = "Bianco" , G17 + 'Over View'!$B$4, IF(B17 = "Giallo" , G17 + 'Over View'!$B$5, IF(B17 = "Blu" , G17 + 'Over View'!$B$6, IF(B17 = "Verde" , G17 + 'Over View'!$B$7, IF(B17 = "Rosso" , G17 + 'Over View'!$B$8, "Grado Non Inserito") )))))</f>
        <v>45700</v>
      </c>
      <c r="I17" s="66" t="b">
        <v>0</v>
      </c>
      <c r="J17" s="67"/>
      <c r="K17" s="68">
        <v>45681.0</v>
      </c>
      <c r="L17" s="69" t="str">
        <f t="shared" si="1"/>
        <v>off set</v>
      </c>
    </row>
    <row r="18" ht="22.5" customHeight="1">
      <c r="A18" s="59">
        <v>17.0</v>
      </c>
      <c r="B18" s="60" t="s">
        <v>21</v>
      </c>
      <c r="C18" s="61">
        <v>8.0</v>
      </c>
      <c r="D18" s="62"/>
      <c r="E18" s="60" t="s">
        <v>13</v>
      </c>
      <c r="F18" s="60" t="s">
        <v>24</v>
      </c>
      <c r="G18" s="64">
        <v>45670.0</v>
      </c>
      <c r="H18" s="65">
        <f>IF(B18 = "Smile", G18 + 'Over View'!$B$3, IF(B18 = "Bianco" , G18 + 'Over View'!$B$4, IF(B18 = "Giallo" , G18 + 'Over View'!$B$5, IF(B18 = "Blu" , G18 + 'Over View'!$B$6, IF(B18 = "Verde" , G18 + 'Over View'!$B$7, IF(B18 = "Rosso" , G18 + 'Over View'!$B$8, "Grado Non Inserito") )))))</f>
        <v>45684</v>
      </c>
      <c r="I18" s="66" t="b">
        <v>0</v>
      </c>
      <c r="J18" s="67"/>
      <c r="K18" s="68">
        <v>45681.0</v>
      </c>
      <c r="L18" s="69" t="str">
        <f t="shared" si="1"/>
        <v>off set</v>
      </c>
    </row>
    <row r="19" ht="22.5" customHeight="1">
      <c r="A19" s="59">
        <v>18.0</v>
      </c>
      <c r="B19" s="60" t="s">
        <v>18</v>
      </c>
      <c r="C19" s="61">
        <v>8.0</v>
      </c>
      <c r="D19" s="62"/>
      <c r="E19" s="63"/>
      <c r="F19" s="63"/>
      <c r="G19" s="64">
        <v>45670.0</v>
      </c>
      <c r="H19" s="65">
        <f>IF(B19 = "Smile", G19 + 'Over View'!$B$3, IF(B19 = "Bianco" , G19 + 'Over View'!$B$4, IF(B19 = "Giallo" , G19 + 'Over View'!$B$5, IF(B19 = "Blu" , G19 + 'Over View'!$B$6, IF(B19 = "Verde" , G19 + 'Over View'!$B$7, IF(B19 = "Rosso" , G19 + 'Over View'!$B$8, "Grado Non Inserito") )))))</f>
        <v>45700</v>
      </c>
      <c r="I19" s="66" t="b">
        <v>0</v>
      </c>
      <c r="J19" s="67"/>
      <c r="K19" s="68">
        <v>45681.0</v>
      </c>
      <c r="L19" s="69" t="str">
        <f t="shared" si="1"/>
        <v>off set</v>
      </c>
    </row>
    <row r="20" ht="22.5" customHeight="1">
      <c r="A20" s="59">
        <v>19.0</v>
      </c>
      <c r="B20" s="60" t="s">
        <v>16</v>
      </c>
      <c r="C20" s="61">
        <v>10.0</v>
      </c>
      <c r="D20" s="62"/>
      <c r="E20" s="63"/>
      <c r="F20" s="63"/>
      <c r="G20" s="64">
        <v>45670.0</v>
      </c>
      <c r="H20" s="65">
        <f>IF(B20 = "Smile", G20 + 'Over View'!$B$3, IF(B20 = "Bianco" , G20 + 'Over View'!$B$4, IF(B20 = "Giallo" , G20 + 'Over View'!$B$5, IF(B20 = "Blu" , G20 + 'Over View'!$B$6, IF(B20 = "Verde" , G20 + 'Over View'!$B$7, IF(B20 = "Rosso" , G20 + 'Over View'!$B$8, "Grado Non Inserito") )))))</f>
        <v>45684</v>
      </c>
      <c r="I20" s="66" t="b">
        <v>0</v>
      </c>
      <c r="J20" s="67"/>
      <c r="K20" s="68">
        <v>45681.0</v>
      </c>
      <c r="L20" s="69" t="str">
        <f t="shared" si="1"/>
        <v>off set</v>
      </c>
    </row>
    <row r="21" ht="22.5" customHeight="1">
      <c r="A21" s="59">
        <v>20.0</v>
      </c>
      <c r="B21" s="60" t="s">
        <v>21</v>
      </c>
      <c r="C21" s="61">
        <v>5.0</v>
      </c>
      <c r="D21" s="62"/>
      <c r="E21" s="63"/>
      <c r="F21" s="63"/>
      <c r="G21" s="64">
        <v>45670.0</v>
      </c>
      <c r="H21" s="65">
        <f>IF(B21 = "Smile", G21 + 'Over View'!$B$3, IF(B21 = "Bianco" , G21 + 'Over View'!$B$4, IF(B21 = "Giallo" , G21 + 'Over View'!$B$5, IF(B21 = "Blu" , G21 + 'Over View'!$B$6, IF(B21 = "Verde" , G21 + 'Over View'!$B$7, IF(B21 = "Rosso" , G21 + 'Over View'!$B$8, "Grado Non Inserito") )))))</f>
        <v>45684</v>
      </c>
      <c r="I21" s="66" t="b">
        <v>0</v>
      </c>
      <c r="J21" s="67"/>
      <c r="K21" s="68">
        <v>45681.0</v>
      </c>
      <c r="L21" s="69" t="str">
        <f t="shared" si="1"/>
        <v>off set</v>
      </c>
    </row>
    <row r="22" ht="22.5" customHeight="1">
      <c r="A22" s="59">
        <v>21.0</v>
      </c>
      <c r="B22" s="60" t="s">
        <v>16</v>
      </c>
      <c r="C22" s="61">
        <v>1.0</v>
      </c>
      <c r="D22" s="62"/>
      <c r="E22" s="63"/>
      <c r="F22" s="63"/>
      <c r="G22" s="64">
        <v>45670.0</v>
      </c>
      <c r="H22" s="65">
        <f>IF(B22 = "Smile", G22 + 'Over View'!$B$3, IF(B22 = "Bianco" , G22 + 'Over View'!$B$4, IF(B22 = "Giallo" , G22 + 'Over View'!$B$5, IF(B22 = "Blu" , G22 + 'Over View'!$B$6, IF(B22 = "Verde" , G22 + 'Over View'!$B$7, IF(B22 = "Rosso" , G22 + 'Over View'!$B$8, "Grado Non Inserito") )))))</f>
        <v>45684</v>
      </c>
      <c r="I22" s="66" t="b">
        <v>0</v>
      </c>
      <c r="J22" s="67"/>
      <c r="K22" s="68">
        <v>45681.0</v>
      </c>
      <c r="L22" s="69" t="str">
        <f t="shared" si="1"/>
        <v>off set</v>
      </c>
    </row>
    <row r="23" ht="22.5" customHeight="1">
      <c r="A23" s="59">
        <v>22.0</v>
      </c>
      <c r="B23" s="60" t="s">
        <v>18</v>
      </c>
      <c r="C23" s="61">
        <v>5.0</v>
      </c>
      <c r="D23" s="62"/>
      <c r="E23" s="63"/>
      <c r="F23" s="63"/>
      <c r="G23" s="64">
        <v>45670.0</v>
      </c>
      <c r="H23" s="65">
        <f>IF(B23 = "Smile", G23 + 'Over View'!$B$3, IF(B23 = "Bianco" , G23 + 'Over View'!$B$4, IF(B23 = "Giallo" , G23 + 'Over View'!$B$5, IF(B23 = "Blu" , G23 + 'Over View'!$B$6, IF(B23 = "Verde" , G23 + 'Over View'!$B$7, IF(B23 = "Rosso" , G23 + 'Over View'!$B$8, "Grado Non Inserito") )))))</f>
        <v>45700</v>
      </c>
      <c r="I23" s="66" t="b">
        <v>0</v>
      </c>
      <c r="J23" s="67"/>
      <c r="K23" s="68">
        <v>45681.0</v>
      </c>
      <c r="L23" s="69" t="str">
        <f t="shared" si="1"/>
        <v>off set</v>
      </c>
    </row>
    <row r="24" ht="22.5" customHeight="1">
      <c r="A24" s="59">
        <v>23.0</v>
      </c>
      <c r="B24" s="60" t="s">
        <v>16</v>
      </c>
      <c r="C24" s="61">
        <v>3.0</v>
      </c>
      <c r="D24" s="62"/>
      <c r="E24" s="63"/>
      <c r="F24" s="63"/>
      <c r="G24" s="64">
        <v>45670.0</v>
      </c>
      <c r="H24" s="65">
        <f>IF(B24 = "Smile", G24 + 'Over View'!$B$3, IF(B24 = "Bianco" , G24 + 'Over View'!$B$4, IF(B24 = "Giallo" , G24 + 'Over View'!$B$5, IF(B24 = "Blu" , G24 + 'Over View'!$B$6, IF(B24 = "Verde" , G24 + 'Over View'!$B$7, IF(B24 = "Rosso" , G24 + 'Over View'!$B$8, "Grado Non Inserito") )))))</f>
        <v>45684</v>
      </c>
      <c r="I24" s="66" t="b">
        <v>0</v>
      </c>
      <c r="J24" s="67"/>
      <c r="K24" s="68">
        <v>45681.0</v>
      </c>
      <c r="L24" s="69" t="str">
        <f t="shared" si="1"/>
        <v>off set</v>
      </c>
    </row>
    <row r="25" ht="22.5" customHeight="1">
      <c r="A25" s="59">
        <v>24.0</v>
      </c>
      <c r="B25" s="60" t="s">
        <v>21</v>
      </c>
      <c r="C25" s="61">
        <v>14.0</v>
      </c>
      <c r="D25" s="62"/>
      <c r="E25" s="63"/>
      <c r="F25" s="63"/>
      <c r="G25" s="64">
        <v>45670.0</v>
      </c>
      <c r="H25" s="65">
        <f>IF(B25 = "Smile", G25 + 'Over View'!$B$3, IF(B25 = "Bianco" , G25 + 'Over View'!$B$4, IF(B25 = "Giallo" , G25 + 'Over View'!$B$5, IF(B25 = "Blu" , G25 + 'Over View'!$B$6, IF(B25 = "Verde" , G25 + 'Over View'!$B$7, IF(B25 = "Rosso" , G25 + 'Over View'!$B$8, "Grado Non Inserito") )))))</f>
        <v>45684</v>
      </c>
      <c r="I25" s="66" t="b">
        <v>0</v>
      </c>
      <c r="J25" s="67"/>
      <c r="K25" s="68">
        <v>45681.0</v>
      </c>
      <c r="L25" s="69" t="str">
        <f t="shared" si="1"/>
        <v>off set</v>
      </c>
    </row>
    <row r="26" ht="22.5" customHeight="1">
      <c r="A26" s="59">
        <v>25.0</v>
      </c>
      <c r="B26" s="60" t="s">
        <v>21</v>
      </c>
      <c r="C26" s="61">
        <v>11.0</v>
      </c>
      <c r="D26" s="62"/>
      <c r="E26" s="63"/>
      <c r="F26" s="63"/>
      <c r="G26" s="64">
        <v>45670.0</v>
      </c>
      <c r="H26" s="65">
        <f>IF(B26 = "Smile", G26 + 'Over View'!$B$3, IF(B26 = "Bianco" , G26 + 'Over View'!$B$4, IF(B26 = "Giallo" , G26 + 'Over View'!$B$5, IF(B26 = "Blu" , G26 + 'Over View'!$B$6, IF(B26 = "Verde" , G26 + 'Over View'!$B$7, IF(B26 = "Rosso" , G26 + 'Over View'!$B$8, "Grado Non Inserito") )))))</f>
        <v>45684</v>
      </c>
      <c r="I26" s="66" t="b">
        <v>0</v>
      </c>
      <c r="J26" s="67"/>
      <c r="K26" s="68">
        <v>45681.0</v>
      </c>
      <c r="L26" s="69" t="str">
        <f t="shared" si="1"/>
        <v>off set</v>
      </c>
    </row>
    <row r="27" ht="22.5" customHeight="1">
      <c r="A27" s="59">
        <v>26.0</v>
      </c>
      <c r="B27" s="60" t="s">
        <v>21</v>
      </c>
      <c r="C27" s="61">
        <v>3.0</v>
      </c>
      <c r="D27" s="62"/>
      <c r="E27" s="63"/>
      <c r="F27" s="63"/>
      <c r="G27" s="64">
        <v>45670.0</v>
      </c>
      <c r="H27" s="65">
        <f>IF(B27 = "Smile", G27 + 'Over View'!$B$3, IF(B27 = "Bianco" , G27 + 'Over View'!$B$4, IF(B27 = "Giallo" , G27 + 'Over View'!$B$5, IF(B27 = "Blu" , G27 + 'Over View'!$B$6, IF(B27 = "Verde" , G27 + 'Over View'!$B$7, IF(B27 = "Rosso" , G27 + 'Over View'!$B$8, "Grado Non Inserito") )))))</f>
        <v>45684</v>
      </c>
      <c r="I27" s="66" t="b">
        <v>0</v>
      </c>
      <c r="J27" s="67"/>
      <c r="K27" s="68">
        <v>45681.0</v>
      </c>
      <c r="L27" s="69" t="str">
        <f t="shared" si="1"/>
        <v>off set</v>
      </c>
    </row>
    <row r="28" ht="22.5" customHeight="1">
      <c r="A28" s="59">
        <v>27.0</v>
      </c>
      <c r="B28" s="60" t="s">
        <v>12</v>
      </c>
      <c r="C28" s="61">
        <v>9.0</v>
      </c>
      <c r="D28" s="62"/>
      <c r="E28" s="63"/>
      <c r="F28" s="63"/>
      <c r="G28" s="64">
        <v>45670.0</v>
      </c>
      <c r="H28" s="65">
        <f>IF(B28 = "Smile", G28 + 'Over View'!$B$3, IF(B28 = "Bianco" , G28 + 'Over View'!$B$4, IF(B28 = "Giallo" , G28 + 'Over View'!$B$5, IF(B28 = "Blu" , G28 + 'Over View'!$B$6, IF(B28 = "Verde" , G28 + 'Over View'!$B$7, IF(B28 = "Rosso" , G28 + 'Over View'!$B$8, "Grado Non Inserito") )))))</f>
        <v>45700</v>
      </c>
      <c r="I28" s="66" t="b">
        <v>0</v>
      </c>
      <c r="J28" s="67"/>
      <c r="K28" s="68">
        <v>45681.0</v>
      </c>
      <c r="L28" s="69" t="str">
        <f t="shared" si="1"/>
        <v>off set</v>
      </c>
    </row>
    <row r="29" ht="22.5" customHeight="1">
      <c r="A29" s="59">
        <v>28.0</v>
      </c>
      <c r="B29" s="60" t="s">
        <v>18</v>
      </c>
      <c r="C29" s="61">
        <v>20.0</v>
      </c>
      <c r="D29" s="62"/>
      <c r="E29" s="63"/>
      <c r="F29" s="63"/>
      <c r="G29" s="64">
        <v>45670.0</v>
      </c>
      <c r="H29" s="65">
        <f>IF(B29 = "Smile", G29 + 'Over View'!$B$3, IF(B29 = "Bianco" , G29 + 'Over View'!$B$4, IF(B29 = "Giallo" , G29 + 'Over View'!$B$5, IF(B29 = "Blu" , G29 + 'Over View'!$B$6, IF(B29 = "Verde" , G29 + 'Over View'!$B$7, IF(B29 = "Rosso" , G29 + 'Over View'!$B$8, "Grado Non Inserito") )))))</f>
        <v>45700</v>
      </c>
      <c r="I29" s="66" t="b">
        <v>0</v>
      </c>
      <c r="J29" s="67"/>
      <c r="K29" s="68">
        <v>45681.0</v>
      </c>
      <c r="L29" s="69" t="str">
        <f t="shared" si="1"/>
        <v>off set</v>
      </c>
    </row>
    <row r="30" ht="22.5" customHeight="1">
      <c r="A30" s="59">
        <v>29.0</v>
      </c>
      <c r="B30" s="60" t="s">
        <v>11</v>
      </c>
      <c r="C30" s="61">
        <v>5.0</v>
      </c>
      <c r="D30" s="62"/>
      <c r="E30" s="63"/>
      <c r="F30" s="63"/>
      <c r="G30" s="64">
        <v>45670.0</v>
      </c>
      <c r="H30" s="65">
        <f>IF(B30 = "Smile", G30 + 'Over View'!$B$3, IF(B30 = "Bianco" , G30 + 'Over View'!$B$4, IF(B30 = "Giallo" , G30 + 'Over View'!$B$5, IF(B30 = "Blu" , G30 + 'Over View'!$B$6, IF(B30 = "Verde" , G30 + 'Over View'!$B$7, IF(B30 = "Rosso" , G30 + 'Over View'!$B$8, "Grado Non Inserito") )))))</f>
        <v>45691</v>
      </c>
      <c r="I30" s="66" t="b">
        <v>0</v>
      </c>
      <c r="J30" s="67"/>
      <c r="K30" s="68">
        <v>45681.0</v>
      </c>
      <c r="L30" s="69" t="str">
        <f t="shared" si="1"/>
        <v>off set</v>
      </c>
    </row>
    <row r="31" ht="22.5" customHeight="1">
      <c r="A31" s="59">
        <v>30.0</v>
      </c>
      <c r="B31" s="60" t="s">
        <v>12</v>
      </c>
      <c r="C31" s="61">
        <v>19.0</v>
      </c>
      <c r="D31" s="62"/>
      <c r="E31" s="63"/>
      <c r="F31" s="63"/>
      <c r="G31" s="64">
        <v>45670.0</v>
      </c>
      <c r="H31" s="65">
        <f>IF(B31 = "Smile", G31 + 'Over View'!$B$3, IF(B31 = "Bianco" , G31 + 'Over View'!$B$4, IF(B31 = "Giallo" , G31 + 'Over View'!$B$5, IF(B31 = "Blu" , G31 + 'Over View'!$B$6, IF(B31 = "Verde" , G31 + 'Over View'!$B$7, IF(B31 = "Rosso" , G31 + 'Over View'!$B$8, "Grado Non Inserito") )))))</f>
        <v>45700</v>
      </c>
      <c r="I31" s="66" t="b">
        <v>0</v>
      </c>
      <c r="J31" s="67"/>
      <c r="K31" s="68">
        <v>45681.0</v>
      </c>
      <c r="L31" s="69" t="str">
        <f t="shared" si="1"/>
        <v>off set</v>
      </c>
    </row>
    <row r="32" ht="22.5" customHeight="1">
      <c r="A32" s="59">
        <v>31.0</v>
      </c>
      <c r="B32" s="60" t="s">
        <v>16</v>
      </c>
      <c r="C32" s="61">
        <v>7.0</v>
      </c>
      <c r="D32" s="62"/>
      <c r="E32" s="63"/>
      <c r="F32" s="63"/>
      <c r="G32" s="64">
        <v>45670.0</v>
      </c>
      <c r="H32" s="65">
        <f>IF(B32 = "Smile", G32 + 'Over View'!$B$3, IF(B32 = "Bianco" , G32 + 'Over View'!$B$4, IF(B32 = "Giallo" , G32 + 'Over View'!$B$5, IF(B32 = "Blu" , G32 + 'Over View'!$B$6, IF(B32 = "Verde" , G32 + 'Over View'!$B$7, IF(B32 = "Rosso" , G32 + 'Over View'!$B$8, "Grado Non Inserito") )))))</f>
        <v>45684</v>
      </c>
      <c r="I32" s="66" t="b">
        <v>0</v>
      </c>
      <c r="J32" s="67"/>
      <c r="K32" s="68">
        <v>45681.0</v>
      </c>
      <c r="L32" s="69" t="str">
        <f t="shared" si="1"/>
        <v>off set</v>
      </c>
    </row>
    <row r="33" ht="22.5" customHeight="1">
      <c r="A33" s="59">
        <v>32.0</v>
      </c>
      <c r="B33" s="60" t="s">
        <v>21</v>
      </c>
      <c r="C33" s="61">
        <v>14.0</v>
      </c>
      <c r="D33" s="62"/>
      <c r="E33" s="62"/>
      <c r="F33" s="60" t="s">
        <v>24</v>
      </c>
      <c r="G33" s="64">
        <v>45670.0</v>
      </c>
      <c r="H33" s="65">
        <f>IF(B33 = "Smile", G33 + 'Over View'!$B$3, IF(B33 = "Bianco" , G33 + 'Over View'!$B$4, IF(B33 = "Giallo" , G33 + 'Over View'!$B$5, IF(B33 = "Blu" , G33 + 'Over View'!$B$6, IF(B33 = "Verde" , G33 + 'Over View'!$B$7, IF(B33 = "Rosso" , G33 + 'Over View'!$B$8, "Grado Non Inserito") )))))</f>
        <v>45684</v>
      </c>
      <c r="I33" s="66" t="b">
        <v>0</v>
      </c>
      <c r="J33" s="67"/>
      <c r="K33" s="68">
        <v>45681.0</v>
      </c>
      <c r="L33" s="69" t="str">
        <f t="shared" si="1"/>
        <v>off set</v>
      </c>
    </row>
    <row r="34" ht="22.5" customHeight="1">
      <c r="A34" s="59">
        <v>33.0</v>
      </c>
      <c r="B34" s="60" t="s">
        <v>18</v>
      </c>
      <c r="C34" s="61">
        <v>9.0</v>
      </c>
      <c r="D34" s="62"/>
      <c r="E34" s="63"/>
      <c r="F34" s="63"/>
      <c r="G34" s="64">
        <v>45670.0</v>
      </c>
      <c r="H34" s="65">
        <f>IF(B34 = "Smile", G34 + 'Over View'!$B$3, IF(B34 = "Bianco" , G34 + 'Over View'!$B$4, IF(B34 = "Giallo" , G34 + 'Over View'!$B$5, IF(B34 = "Blu" , G34 + 'Over View'!$B$6, IF(B34 = "Verde" , G34 + 'Over View'!$B$7, IF(B34 = "Rosso" , G34 + 'Over View'!$B$8, "Grado Non Inserito") )))))</f>
        <v>45700</v>
      </c>
      <c r="I34" s="66" t="b">
        <v>0</v>
      </c>
      <c r="J34" s="67"/>
      <c r="K34" s="68">
        <v>45681.0</v>
      </c>
      <c r="L34" s="69" t="str">
        <f t="shared" si="1"/>
        <v>off set</v>
      </c>
    </row>
    <row r="35" ht="22.5" customHeight="1">
      <c r="A35" s="59">
        <v>34.0</v>
      </c>
      <c r="B35" s="60" t="s">
        <v>12</v>
      </c>
      <c r="C35" s="61">
        <v>4.0</v>
      </c>
      <c r="D35" s="62"/>
      <c r="E35" s="63"/>
      <c r="F35" s="63"/>
      <c r="G35" s="64">
        <v>45670.0</v>
      </c>
      <c r="H35" s="65">
        <f>IF(B35 = "Smile", G35 + 'Over View'!$B$3, IF(B35 = "Bianco" , G35 + 'Over View'!$B$4, IF(B35 = "Giallo" , G35 + 'Over View'!$B$5, IF(B35 = "Blu" , G35 + 'Over View'!$B$6, IF(B35 = "Verde" , G35 + 'Over View'!$B$7, IF(B35 = "Rosso" , G35 + 'Over View'!$B$8, "Grado Non Inserito") )))))</f>
        <v>45700</v>
      </c>
      <c r="I35" s="66" t="b">
        <v>0</v>
      </c>
      <c r="J35" s="67"/>
      <c r="K35" s="68">
        <v>45681.0</v>
      </c>
      <c r="L35" s="69" t="str">
        <f t="shared" si="1"/>
        <v>off set</v>
      </c>
    </row>
    <row r="36" ht="22.5" customHeight="1">
      <c r="A36" s="59">
        <v>35.0</v>
      </c>
      <c r="B36" s="60" t="s">
        <v>21</v>
      </c>
      <c r="C36" s="61">
        <v>6.0</v>
      </c>
      <c r="D36" s="62"/>
      <c r="E36" s="60" t="s">
        <v>28</v>
      </c>
      <c r="F36" s="60" t="s">
        <v>24</v>
      </c>
      <c r="G36" s="64">
        <v>45670.0</v>
      </c>
      <c r="H36" s="65">
        <f>IF(B36 = "Smile", G36 + 'Over View'!$B$3, IF(B36 = "Bianco" , G36 + 'Over View'!$B$4, IF(B36 = "Giallo" , G36 + 'Over View'!$B$5, IF(B36 = "Blu" , G36 + 'Over View'!$B$6, IF(B36 = "Verde" , G36 + 'Over View'!$B$7, IF(B36 = "Rosso" , G36 + 'Over View'!$B$8, "Grado Non Inserito") )))))</f>
        <v>45684</v>
      </c>
      <c r="I36" s="66" t="b">
        <v>0</v>
      </c>
      <c r="J36" s="67"/>
      <c r="K36" s="68">
        <v>45681.0</v>
      </c>
      <c r="L36" s="69" t="str">
        <f t="shared" si="1"/>
        <v>off set</v>
      </c>
    </row>
    <row r="37" ht="22.5" customHeight="1">
      <c r="A37" s="59">
        <v>36.0</v>
      </c>
      <c r="B37" s="60" t="s">
        <v>18</v>
      </c>
      <c r="C37" s="61">
        <v>13.0</v>
      </c>
      <c r="D37" s="62"/>
      <c r="E37" s="60" t="s">
        <v>28</v>
      </c>
      <c r="F37" s="60" t="s">
        <v>24</v>
      </c>
      <c r="G37" s="64">
        <v>45670.0</v>
      </c>
      <c r="H37" s="65">
        <f>IF(B37 = "Smile", G37 + 'Over View'!$B$3, IF(B37 = "Bianco" , G37 + 'Over View'!$B$4, IF(B37 = "Giallo" , G37 + 'Over View'!$B$5, IF(B37 = "Blu" , G37 + 'Over View'!$B$6, IF(B37 = "Verde" , G37 + 'Over View'!$B$7, IF(B37 = "Rosso" , G37 + 'Over View'!$B$8, "Grado Non Inserito") )))))</f>
        <v>45700</v>
      </c>
      <c r="I37" s="66" t="b">
        <v>0</v>
      </c>
      <c r="J37" s="67"/>
      <c r="K37" s="68">
        <v>45681.0</v>
      </c>
      <c r="L37" s="69" t="str">
        <f t="shared" si="1"/>
        <v>off set</v>
      </c>
    </row>
    <row r="38" ht="22.5" customHeight="1">
      <c r="A38" s="59">
        <v>37.0</v>
      </c>
      <c r="B38" s="60" t="s">
        <v>16</v>
      </c>
      <c r="C38" s="61">
        <v>2.0</v>
      </c>
      <c r="D38" s="62"/>
      <c r="E38" s="63"/>
      <c r="F38" s="63"/>
      <c r="G38" s="64">
        <v>45670.0</v>
      </c>
      <c r="H38" s="65">
        <f>IF(B38 = "Smile", G38 + 'Over View'!$B$3, IF(B38 = "Bianco" , G38 + 'Over View'!$B$4, IF(B38 = "Giallo" , G38 + 'Over View'!$B$5, IF(B38 = "Blu" , G38 + 'Over View'!$B$6, IF(B38 = "Verde" , G38 + 'Over View'!$B$7, IF(B38 = "Rosso" , G38 + 'Over View'!$B$8, "Grado Non Inserito") )))))</f>
        <v>45684</v>
      </c>
      <c r="I38" s="66" t="b">
        <v>0</v>
      </c>
      <c r="J38" s="67"/>
      <c r="K38" s="68">
        <v>45681.0</v>
      </c>
      <c r="L38" s="69" t="str">
        <f t="shared" si="1"/>
        <v>off set</v>
      </c>
    </row>
    <row r="39" ht="22.5" customHeight="1">
      <c r="A39" s="59">
        <v>38.0</v>
      </c>
      <c r="B39" s="60" t="s">
        <v>16</v>
      </c>
      <c r="C39" s="61">
        <v>6.0</v>
      </c>
      <c r="D39" s="62"/>
      <c r="E39" s="60" t="s">
        <v>28</v>
      </c>
      <c r="F39" s="60" t="s">
        <v>24</v>
      </c>
      <c r="G39" s="64">
        <v>45670.0</v>
      </c>
      <c r="H39" s="65">
        <f>IF(B39 = "Smile", G39 + 'Over View'!$B$3, IF(B39 = "Bianco" , G39 + 'Over View'!$B$4, IF(B39 = "Giallo" , G39 + 'Over View'!$B$5, IF(B39 = "Blu" , G39 + 'Over View'!$B$6, IF(B39 = "Verde" , G39 + 'Over View'!$B$7, IF(B39 = "Rosso" , G39 + 'Over View'!$B$8, "Grado Non Inserito") )))))</f>
        <v>45684</v>
      </c>
      <c r="I39" s="66" t="b">
        <v>0</v>
      </c>
      <c r="J39" s="67"/>
      <c r="K39" s="68">
        <v>45681.0</v>
      </c>
      <c r="L39" s="69" t="str">
        <f t="shared" si="1"/>
        <v>off set</v>
      </c>
    </row>
    <row r="40" ht="22.5" customHeight="1">
      <c r="A40" s="59">
        <v>39.0</v>
      </c>
      <c r="B40" s="60" t="s">
        <v>18</v>
      </c>
      <c r="C40" s="61">
        <v>3.0</v>
      </c>
      <c r="D40" s="62"/>
      <c r="E40" s="63"/>
      <c r="F40" s="63"/>
      <c r="G40" s="64">
        <v>45670.0</v>
      </c>
      <c r="H40" s="65">
        <f>IF(B40 = "Smile", G40 + 'Over View'!$B$3, IF(B40 = "Bianco" , G40 + 'Over View'!$B$4, IF(B40 = "Giallo" , G40 + 'Over View'!$B$5, IF(B40 = "Blu" , G40 + 'Over View'!$B$6, IF(B40 = "Verde" , G40 + 'Over View'!$B$7, IF(B40 = "Rosso" , G40 + 'Over View'!$B$8, "Grado Non Inserito") )))))</f>
        <v>45700</v>
      </c>
      <c r="I40" s="66" t="b">
        <v>0</v>
      </c>
      <c r="J40" s="67"/>
      <c r="K40" s="68">
        <v>45681.0</v>
      </c>
      <c r="L40" s="69" t="str">
        <f t="shared" si="1"/>
        <v>off set</v>
      </c>
    </row>
    <row r="41" ht="22.5" customHeight="1">
      <c r="A41" s="59">
        <v>40.0</v>
      </c>
      <c r="B41" s="60" t="s">
        <v>21</v>
      </c>
      <c r="C41" s="61">
        <v>2.0</v>
      </c>
      <c r="D41" s="62"/>
      <c r="E41" s="63"/>
      <c r="F41" s="63"/>
      <c r="G41" s="64">
        <v>45670.0</v>
      </c>
      <c r="H41" s="65">
        <f>IF(B41 = "Smile", G41 + 'Over View'!$B$3, IF(B41 = "Bianco" , G41 + 'Over View'!$B$4, IF(B41 = "Giallo" , G41 + 'Over View'!$B$5, IF(B41 = "Blu" , G41 + 'Over View'!$B$6, IF(B41 = "Verde" , G41 + 'Over View'!$B$7, IF(B41 = "Rosso" , G41 + 'Over View'!$B$8, "Grado Non Inserito") )))))</f>
        <v>45684</v>
      </c>
      <c r="I41" s="66" t="b">
        <v>0</v>
      </c>
      <c r="J41" s="67"/>
      <c r="K41" s="68">
        <v>45681.0</v>
      </c>
      <c r="L41" s="69" t="str">
        <f t="shared" si="1"/>
        <v>off set</v>
      </c>
    </row>
    <row r="42" ht="22.5" customHeight="1">
      <c r="A42" s="59">
        <v>41.0</v>
      </c>
      <c r="B42" s="60" t="s">
        <v>12</v>
      </c>
      <c r="C42" s="61">
        <v>9.0</v>
      </c>
      <c r="D42" s="62"/>
      <c r="E42" s="63"/>
      <c r="F42" s="63"/>
      <c r="G42" s="64">
        <v>45670.0</v>
      </c>
      <c r="H42" s="65">
        <f>IF(B42 = "Smile", G42 + 'Over View'!$B$3, IF(B42 = "Bianco" , G42 + 'Over View'!$B$4, IF(B42 = "Giallo" , G42 + 'Over View'!$B$5, IF(B42 = "Blu" , G42 + 'Over View'!$B$6, IF(B42 = "Verde" , G42 + 'Over View'!$B$7, IF(B42 = "Rosso" , G42 + 'Over View'!$B$8, "Grado Non Inserito") )))))</f>
        <v>45700</v>
      </c>
      <c r="I42" s="66" t="b">
        <v>0</v>
      </c>
      <c r="J42" s="67"/>
      <c r="K42" s="68">
        <v>45681.0</v>
      </c>
      <c r="L42" s="69" t="str">
        <f t="shared" si="1"/>
        <v>off set</v>
      </c>
    </row>
    <row r="43" ht="22.5" customHeight="1">
      <c r="A43" s="59">
        <v>42.0</v>
      </c>
      <c r="B43" s="60" t="s">
        <v>11</v>
      </c>
      <c r="C43" s="61">
        <v>2.0</v>
      </c>
      <c r="D43" s="62"/>
      <c r="E43" s="63"/>
      <c r="F43" s="63"/>
      <c r="G43" s="64">
        <v>45670.0</v>
      </c>
      <c r="H43" s="65">
        <f>IF(B43 = "Smile", G43 + 'Over View'!$B$3, IF(B43 = "Bianco" , G43 + 'Over View'!$B$4, IF(B43 = "Giallo" , G43 + 'Over View'!$B$5, IF(B43 = "Blu" , G43 + 'Over View'!$B$6, IF(B43 = "Verde" , G43 + 'Over View'!$B$7, IF(B43 = "Rosso" , G43 + 'Over View'!$B$8, "Grado Non Inserito") )))))</f>
        <v>45691</v>
      </c>
      <c r="I43" s="66" t="b">
        <v>0</v>
      </c>
      <c r="J43" s="67"/>
      <c r="K43" s="68">
        <v>45681.0</v>
      </c>
      <c r="L43" s="69" t="str">
        <f t="shared" si="1"/>
        <v>off set</v>
      </c>
    </row>
    <row r="44" ht="22.5" customHeight="1">
      <c r="A44" s="59">
        <v>43.0</v>
      </c>
      <c r="B44" s="60" t="s">
        <v>12</v>
      </c>
      <c r="C44" s="61">
        <v>18.0</v>
      </c>
      <c r="D44" s="62"/>
      <c r="E44" s="63"/>
      <c r="F44" s="63"/>
      <c r="G44" s="64">
        <v>45670.0</v>
      </c>
      <c r="H44" s="65">
        <f>IF(B44 = "Smile", G44 + 'Over View'!$B$3, IF(B44 = "Bianco" , G44 + 'Over View'!$B$4, IF(B44 = "Giallo" , G44 + 'Over View'!$B$5, IF(B44 = "Blu" , G44 + 'Over View'!$B$6, IF(B44 = "Verde" , G44 + 'Over View'!$B$7, IF(B44 = "Rosso" , G44 + 'Over View'!$B$8, "Grado Non Inserito") )))))</f>
        <v>45700</v>
      </c>
      <c r="I44" s="66" t="b">
        <v>0</v>
      </c>
      <c r="J44" s="67"/>
      <c r="K44" s="68">
        <v>45681.0</v>
      </c>
      <c r="L44" s="69" t="str">
        <f t="shared" si="1"/>
        <v>off set</v>
      </c>
    </row>
    <row r="45" ht="22.5" customHeight="1">
      <c r="A45" s="59">
        <v>44.0</v>
      </c>
      <c r="B45" s="60" t="s">
        <v>11</v>
      </c>
      <c r="C45" s="61">
        <v>3.0</v>
      </c>
      <c r="D45" s="62"/>
      <c r="E45" s="63"/>
      <c r="F45" s="63"/>
      <c r="G45" s="64">
        <v>45670.0</v>
      </c>
      <c r="H45" s="65">
        <f>IF(B45 = "Smile", G45 + 'Over View'!$B$3, IF(B45 = "Bianco" , G45 + 'Over View'!$B$4, IF(B45 = "Giallo" , G45 + 'Over View'!$B$5, IF(B45 = "Blu" , G45 + 'Over View'!$B$6, IF(B45 = "Verde" , G45 + 'Over View'!$B$7, IF(B45 = "Rosso" , G45 + 'Over View'!$B$8, "Grado Non Inserito") )))))</f>
        <v>45691</v>
      </c>
      <c r="I45" s="66" t="b">
        <v>0</v>
      </c>
      <c r="J45" s="67"/>
      <c r="K45" s="68">
        <v>45681.0</v>
      </c>
      <c r="L45" s="69" t="str">
        <f t="shared" si="1"/>
        <v>off set</v>
      </c>
    </row>
    <row r="46" ht="22.5" customHeight="1">
      <c r="A46" s="59">
        <v>45.0</v>
      </c>
      <c r="B46" s="60" t="s">
        <v>12</v>
      </c>
      <c r="C46" s="61">
        <v>1.0</v>
      </c>
      <c r="D46" s="62"/>
      <c r="E46" s="63"/>
      <c r="F46" s="63"/>
      <c r="G46" s="64">
        <v>45670.0</v>
      </c>
      <c r="H46" s="65">
        <f>IF(B46 = "Smile", G46 + 'Over View'!$B$3, IF(B46 = "Bianco" , G46 + 'Over View'!$B$4, IF(B46 = "Giallo" , G46 + 'Over View'!$B$5, IF(B46 = "Blu" , G46 + 'Over View'!$B$6, IF(B46 = "Verde" , G46 + 'Over View'!$B$7, IF(B46 = "Rosso" , G46 + 'Over View'!$B$8, "Grado Non Inserito") )))))</f>
        <v>45700</v>
      </c>
      <c r="I46" s="66" t="b">
        <v>0</v>
      </c>
      <c r="J46" s="67"/>
      <c r="K46" s="68">
        <v>45681.0</v>
      </c>
      <c r="L46" s="69" t="str">
        <f t="shared" si="1"/>
        <v>off set</v>
      </c>
    </row>
    <row r="47" ht="22.5" customHeight="1">
      <c r="A47" s="59">
        <v>46.0</v>
      </c>
      <c r="B47" s="60" t="s">
        <v>23</v>
      </c>
      <c r="C47" s="61">
        <v>10.0</v>
      </c>
      <c r="D47" s="62"/>
      <c r="E47" s="63"/>
      <c r="F47" s="63"/>
      <c r="G47" s="64">
        <v>45670.0</v>
      </c>
      <c r="H47" s="65">
        <f>IF(B47 = "Smile", G47 + 'Over View'!$B$3, IF(B47 = "Bianco" , G47 + 'Over View'!$B$4, IF(B47 = "Giallo" , G47 + 'Over View'!$B$5, IF(B47 = "Blu" , G47 + 'Over View'!$B$6, IF(B47 = "Verde" , G47 + 'Over View'!$B$7, IF(B47 = "Rosso" , G47 + 'Over View'!$B$8, "Grado Non Inserito") )))))</f>
        <v>45691</v>
      </c>
      <c r="I47" s="66" t="b">
        <v>0</v>
      </c>
      <c r="J47" s="67"/>
      <c r="K47" s="68">
        <v>45681.0</v>
      </c>
      <c r="L47" s="69" t="str">
        <f t="shared" si="1"/>
        <v>off set</v>
      </c>
    </row>
    <row r="48" ht="22.5" customHeight="1">
      <c r="A48" s="59">
        <v>47.0</v>
      </c>
      <c r="B48" s="60" t="s">
        <v>18</v>
      </c>
      <c r="C48" s="61">
        <v>4.0</v>
      </c>
      <c r="D48" s="62"/>
      <c r="E48" s="63"/>
      <c r="F48" s="63"/>
      <c r="G48" s="64">
        <v>45670.0</v>
      </c>
      <c r="H48" s="65">
        <f>IF(B48 = "Smile", G48 + 'Over View'!$B$3, IF(B48 = "Bianco" , G48 + 'Over View'!$B$4, IF(B48 = "Giallo" , G48 + 'Over View'!$B$5, IF(B48 = "Blu" , G48 + 'Over View'!$B$6, IF(B48 = "Verde" , G48 + 'Over View'!$B$7, IF(B48 = "Rosso" , G48 + 'Over View'!$B$8, "Grado Non Inserito") )))))</f>
        <v>45700</v>
      </c>
      <c r="I48" s="66" t="b">
        <v>0</v>
      </c>
      <c r="J48" s="67"/>
      <c r="K48" s="68">
        <v>45681.0</v>
      </c>
      <c r="L48" s="69" t="str">
        <f t="shared" si="1"/>
        <v>off set</v>
      </c>
    </row>
    <row r="49" ht="22.5" customHeight="1">
      <c r="A49" s="59">
        <v>48.0</v>
      </c>
      <c r="B49" s="60" t="s">
        <v>12</v>
      </c>
      <c r="C49" s="61">
        <v>7.0</v>
      </c>
      <c r="D49" s="62"/>
      <c r="E49" s="63"/>
      <c r="F49" s="63"/>
      <c r="G49" s="64">
        <v>45670.0</v>
      </c>
      <c r="H49" s="65">
        <f>IF(B49 = "Smile", G49 + 'Over View'!$B$3, IF(B49 = "Bianco" , G49 + 'Over View'!$B$4, IF(B49 = "Giallo" , G49 + 'Over View'!$B$5, IF(B49 = "Blu" , G49 + 'Over View'!$B$6, IF(B49 = "Verde" , G49 + 'Over View'!$B$7, IF(B49 = "Rosso" , G49 + 'Over View'!$B$8, "Grado Non Inserito") )))))</f>
        <v>45700</v>
      </c>
      <c r="I49" s="66" t="b">
        <v>0</v>
      </c>
      <c r="J49" s="67"/>
      <c r="K49" s="68">
        <v>45681.0</v>
      </c>
      <c r="L49" s="69" t="str">
        <f t="shared" si="1"/>
        <v>off set</v>
      </c>
    </row>
    <row r="50" ht="22.5" customHeight="1">
      <c r="A50" s="59">
        <v>49.0</v>
      </c>
      <c r="B50" s="60" t="s">
        <v>23</v>
      </c>
      <c r="C50" s="61">
        <v>1.0</v>
      </c>
      <c r="D50" s="62"/>
      <c r="E50" s="63"/>
      <c r="F50" s="63"/>
      <c r="G50" s="64">
        <v>45670.0</v>
      </c>
      <c r="H50" s="65">
        <f>IF(B50 = "Smile", G50 + 'Over View'!$B$3, IF(B50 = "Bianco" , G50 + 'Over View'!$B$4, IF(B50 = "Giallo" , G50 + 'Over View'!$B$5, IF(B50 = "Blu" , G50 + 'Over View'!$B$6, IF(B50 = "Verde" , G50 + 'Over View'!$B$7, IF(B50 = "Rosso" , G50 + 'Over View'!$B$8, "Grado Non Inserito") )))))</f>
        <v>45691</v>
      </c>
      <c r="I50" s="66" t="b">
        <v>0</v>
      </c>
      <c r="J50" s="67"/>
      <c r="K50" s="68">
        <v>45681.0</v>
      </c>
      <c r="L50" s="69" t="str">
        <f t="shared" si="1"/>
        <v>off set</v>
      </c>
    </row>
    <row r="51" ht="22.5" customHeight="1">
      <c r="A51" s="59">
        <v>50.0</v>
      </c>
      <c r="B51" s="60" t="s">
        <v>18</v>
      </c>
      <c r="C51" s="61">
        <v>2.0</v>
      </c>
      <c r="D51" s="62"/>
      <c r="E51" s="63"/>
      <c r="F51" s="63"/>
      <c r="G51" s="64">
        <v>45670.0</v>
      </c>
      <c r="H51" s="65">
        <f>IF(B51 = "Smile", G51 + 'Over View'!$B$3, IF(B51 = "Bianco" , G51 + 'Over View'!$B$4, IF(B51 = "Giallo" , G51 + 'Over View'!$B$5, IF(B51 = "Blu" , G51 + 'Over View'!$B$6, IF(B51 = "Verde" , G51 + 'Over View'!$B$7, IF(B51 = "Rosso" , G51 + 'Over View'!$B$8, "Grado Non Inserito") )))))</f>
        <v>45700</v>
      </c>
      <c r="I51" s="66" t="b">
        <v>0</v>
      </c>
      <c r="J51" s="67"/>
      <c r="K51" s="68">
        <v>45681.0</v>
      </c>
      <c r="L51" s="69" t="str">
        <f t="shared" si="1"/>
        <v>off set</v>
      </c>
    </row>
    <row r="52" ht="22.5" customHeight="1">
      <c r="A52" s="59">
        <v>51.0</v>
      </c>
      <c r="B52" s="60" t="s">
        <v>12</v>
      </c>
      <c r="C52" s="61">
        <v>2.0</v>
      </c>
      <c r="D52" s="62"/>
      <c r="E52" s="63"/>
      <c r="F52" s="63"/>
      <c r="G52" s="64">
        <v>45670.0</v>
      </c>
      <c r="H52" s="65">
        <f>IF(B52 = "Smile", G52 + 'Over View'!$B$3, IF(B52 = "Bianco" , G52 + 'Over View'!$B$4, IF(B52 = "Giallo" , G52 + 'Over View'!$B$5, IF(B52 = "Blu" , G52 + 'Over View'!$B$6, IF(B52 = "Verde" , G52 + 'Over View'!$B$7, IF(B52 = "Rosso" , G52 + 'Over View'!$B$8, "Grado Non Inserito") )))))</f>
        <v>45700</v>
      </c>
      <c r="I52" s="66" t="b">
        <v>0</v>
      </c>
      <c r="J52" s="67"/>
      <c r="K52" s="68">
        <v>45681.0</v>
      </c>
      <c r="L52" s="69" t="str">
        <f t="shared" si="1"/>
        <v>off set</v>
      </c>
    </row>
    <row r="53" ht="22.5" customHeight="1">
      <c r="A53" s="59">
        <v>52.0</v>
      </c>
      <c r="B53" s="60" t="s">
        <v>21</v>
      </c>
      <c r="C53" s="61">
        <v>10.0</v>
      </c>
      <c r="D53" s="62"/>
      <c r="E53" s="60" t="s">
        <v>32</v>
      </c>
      <c r="F53" s="60" t="s">
        <v>24</v>
      </c>
      <c r="G53" s="64">
        <v>45670.0</v>
      </c>
      <c r="H53" s="65">
        <f>IF(B53 = "Smile", G53 + 'Over View'!$B$3, IF(B53 = "Bianco" , G53 + 'Over View'!$B$4, IF(B53 = "Giallo" , G53 + 'Over View'!$B$5, IF(B53 = "Blu" , G53 + 'Over View'!$B$6, IF(B53 = "Verde" , G53 + 'Over View'!$B$7, IF(B53 = "Rosso" , G53 + 'Over View'!$B$8, "Grado Non Inserito") )))))</f>
        <v>45684</v>
      </c>
      <c r="I53" s="66" t="b">
        <v>0</v>
      </c>
      <c r="J53" s="67"/>
      <c r="K53" s="68">
        <v>45681.0</v>
      </c>
      <c r="L53" s="69" t="str">
        <f t="shared" si="1"/>
        <v>off set</v>
      </c>
    </row>
    <row r="54" ht="22.5" customHeight="1">
      <c r="A54" s="59">
        <v>53.0</v>
      </c>
      <c r="B54" s="60" t="s">
        <v>21</v>
      </c>
      <c r="C54" s="61">
        <v>18.0</v>
      </c>
      <c r="D54" s="62"/>
      <c r="E54" s="63"/>
      <c r="F54" s="63"/>
      <c r="G54" s="64">
        <v>45670.0</v>
      </c>
      <c r="H54" s="65">
        <f>IF(B54 = "Smile", G54 + 'Over View'!$B$3, IF(B54 = "Bianco" , G54 + 'Over View'!$B$4, IF(B54 = "Giallo" , G54 + 'Over View'!$B$5, IF(B54 = "Blu" , G54 + 'Over View'!$B$6, IF(B54 = "Verde" , G54 + 'Over View'!$B$7, IF(B54 = "Rosso" , G54 + 'Over View'!$B$8, "Grado Non Inserito") )))))</f>
        <v>45684</v>
      </c>
      <c r="I54" s="66" t="b">
        <v>0</v>
      </c>
      <c r="J54" s="67"/>
      <c r="K54" s="68">
        <v>45681.0</v>
      </c>
      <c r="L54" s="69" t="str">
        <f t="shared" si="1"/>
        <v>off set</v>
      </c>
    </row>
    <row r="55" ht="22.5" customHeight="1">
      <c r="A55" s="59">
        <v>54.0</v>
      </c>
      <c r="B55" s="60" t="s">
        <v>16</v>
      </c>
      <c r="C55" s="61">
        <v>5.0</v>
      </c>
      <c r="D55" s="62"/>
      <c r="E55" s="63"/>
      <c r="F55" s="63"/>
      <c r="G55" s="64">
        <v>45670.0</v>
      </c>
      <c r="H55" s="65">
        <f>IF(B55 = "Smile", G55 + 'Over View'!$B$3, IF(B55 = "Bianco" , G55 + 'Over View'!$B$4, IF(B55 = "Giallo" , G55 + 'Over View'!$B$5, IF(B55 = "Blu" , G55 + 'Over View'!$B$6, IF(B55 = "Verde" , G55 + 'Over View'!$B$7, IF(B55 = "Rosso" , G55 + 'Over View'!$B$8, "Grado Non Inserito") )))))</f>
        <v>45684</v>
      </c>
      <c r="I55" s="66" t="b">
        <v>0</v>
      </c>
      <c r="J55" s="67"/>
      <c r="K55" s="68">
        <v>45681.0</v>
      </c>
      <c r="L55" s="69" t="str">
        <f t="shared" si="1"/>
        <v>off set</v>
      </c>
    </row>
    <row r="56" ht="22.5" customHeight="1">
      <c r="A56" s="59">
        <v>55.0</v>
      </c>
      <c r="B56" s="60" t="s">
        <v>18</v>
      </c>
      <c r="C56" s="61">
        <v>9.0</v>
      </c>
      <c r="D56" s="62"/>
      <c r="E56" s="60" t="s">
        <v>32</v>
      </c>
      <c r="F56" s="60" t="s">
        <v>24</v>
      </c>
      <c r="G56" s="64">
        <v>45670.0</v>
      </c>
      <c r="H56" s="65">
        <f>IF(B56 = "Smile", G56 + 'Over View'!$B$3, IF(B56 = "Bianco" , G56 + 'Over View'!$B$4, IF(B56 = "Giallo" , G56 + 'Over View'!$B$5, IF(B56 = "Blu" , G56 + 'Over View'!$B$6, IF(B56 = "Verde" , G56 + 'Over View'!$B$7, IF(B56 = "Rosso" , G56 + 'Over View'!$B$8, "Grado Non Inserito") )))))</f>
        <v>45700</v>
      </c>
      <c r="I56" s="66" t="b">
        <v>0</v>
      </c>
      <c r="J56" s="67"/>
      <c r="K56" s="68">
        <v>45681.0</v>
      </c>
      <c r="L56" s="69" t="str">
        <f t="shared" si="1"/>
        <v>off set</v>
      </c>
    </row>
    <row r="57" ht="22.5" customHeight="1">
      <c r="A57" s="59">
        <v>56.0</v>
      </c>
      <c r="B57" s="60" t="s">
        <v>12</v>
      </c>
      <c r="C57" s="61">
        <v>12.0</v>
      </c>
      <c r="D57" s="62"/>
      <c r="E57" s="63"/>
      <c r="F57" s="63"/>
      <c r="G57" s="64">
        <v>45670.0</v>
      </c>
      <c r="H57" s="65">
        <f>IF(B57 = "Smile", G57 + 'Over View'!$B$3, IF(B57 = "Bianco" , G57 + 'Over View'!$B$4, IF(B57 = "Giallo" , G57 + 'Over View'!$B$5, IF(B57 = "Blu" , G57 + 'Over View'!$B$6, IF(B57 = "Verde" , G57 + 'Over View'!$B$7, IF(B57 = "Rosso" , G57 + 'Over View'!$B$8, "Grado Non Inserito") )))))</f>
        <v>45700</v>
      </c>
      <c r="I57" s="66" t="b">
        <v>0</v>
      </c>
      <c r="J57" s="67"/>
      <c r="K57" s="68">
        <v>45681.0</v>
      </c>
      <c r="L57" s="69" t="str">
        <f t="shared" si="1"/>
        <v>off set</v>
      </c>
    </row>
    <row r="58" ht="22.5" customHeight="1">
      <c r="A58" s="59">
        <v>57.0</v>
      </c>
      <c r="B58" s="60" t="s">
        <v>12</v>
      </c>
      <c r="C58" s="61">
        <v>9.0</v>
      </c>
      <c r="D58" s="62"/>
      <c r="E58" s="63"/>
      <c r="F58" s="63"/>
      <c r="G58" s="64">
        <v>45670.0</v>
      </c>
      <c r="H58" s="65">
        <f>IF(B58 = "Smile", G58 + 'Over View'!$B$3, IF(B58 = "Bianco" , G58 + 'Over View'!$B$4, IF(B58 = "Giallo" , G58 + 'Over View'!$B$5, IF(B58 = "Blu" , G58 + 'Over View'!$B$6, IF(B58 = "Verde" , G58 + 'Over View'!$B$7, IF(B58 = "Rosso" , G58 + 'Over View'!$B$8, "Grado Non Inserito") )))))</f>
        <v>45700</v>
      </c>
      <c r="I58" s="66" t="b">
        <v>0</v>
      </c>
      <c r="J58" s="67"/>
      <c r="K58" s="68">
        <v>45681.0</v>
      </c>
      <c r="L58" s="69" t="str">
        <f t="shared" si="1"/>
        <v>off set</v>
      </c>
    </row>
    <row r="59" ht="22.5" customHeight="1">
      <c r="A59" s="59">
        <v>58.0</v>
      </c>
      <c r="B59" s="60" t="s">
        <v>16</v>
      </c>
      <c r="C59" s="61">
        <v>2.0</v>
      </c>
      <c r="D59" s="62"/>
      <c r="E59" s="60" t="s">
        <v>13</v>
      </c>
      <c r="F59" s="60" t="s">
        <v>24</v>
      </c>
      <c r="G59" s="64">
        <v>45684.0</v>
      </c>
      <c r="H59" s="65">
        <f>IF(B59 = "Smile", G59 + 'Over View'!$B$3, IF(B59 = "Bianco" , G59 + 'Over View'!$B$4, IF(B59 = "Giallo" , G59 + 'Over View'!$B$5, IF(B59 = "Blu" , G59 + 'Over View'!$B$6, IF(B59 = "Verde" , G59 + 'Over View'!$B$7, IF(B59 = "Rosso" , G59 + 'Over View'!$B$8, "Grado Non Inserito") )))))</f>
        <v>45698</v>
      </c>
      <c r="I59" s="66" t="b">
        <v>0</v>
      </c>
      <c r="J59" s="67"/>
      <c r="K59" s="68">
        <v>45699.0</v>
      </c>
      <c r="L59" s="69" t="str">
        <f t="shared" si="1"/>
        <v>off set</v>
      </c>
    </row>
    <row r="60" ht="22.5" customHeight="1">
      <c r="A60" s="59">
        <v>59.0</v>
      </c>
      <c r="B60" s="60" t="s">
        <v>12</v>
      </c>
      <c r="C60" s="61">
        <v>3.0</v>
      </c>
      <c r="D60" s="62"/>
      <c r="E60" s="60" t="s">
        <v>13</v>
      </c>
      <c r="F60" s="60" t="s">
        <v>14</v>
      </c>
      <c r="G60" s="70">
        <v>45684.0</v>
      </c>
      <c r="H60" s="65">
        <f>IF(B60 = "Smile", G60 + 'Over View'!$B$3, IF(B60 = "Bianco" , G60 + 'Over View'!$B$4, IF(B60 = "Giallo" , G60 + 'Over View'!$B$5, IF(B60 = "Blu" , G60 + 'Over View'!$B$6, IF(B60 = "Verde" , G60 + 'Over View'!$B$7, IF(B60 = "Rosso" , G60 + 'Over View'!$B$8, "Grado Non Inserito") )))))</f>
        <v>45714</v>
      </c>
      <c r="I60" s="66" t="b">
        <v>0</v>
      </c>
      <c r="J60" s="67"/>
      <c r="K60" s="68">
        <v>45720.0</v>
      </c>
      <c r="L60" s="69" t="str">
        <f t="shared" si="1"/>
        <v>off set</v>
      </c>
    </row>
    <row r="61" ht="22.5" customHeight="1">
      <c r="A61" s="59">
        <v>60.0</v>
      </c>
      <c r="B61" s="60" t="s">
        <v>23</v>
      </c>
      <c r="C61" s="61">
        <v>9.0</v>
      </c>
      <c r="D61" s="62"/>
      <c r="E61" s="60" t="s">
        <v>13</v>
      </c>
      <c r="F61" s="60" t="s">
        <v>36</v>
      </c>
      <c r="G61" s="70">
        <v>45684.0</v>
      </c>
      <c r="H61" s="65">
        <f>IF(B61 = "Smile", G61 + 'Over View'!$B$3, IF(B61 = "Bianco" , G61 + 'Over View'!$B$4, IF(B61 = "Giallo" , G61 + 'Over View'!$B$5, IF(B61 = "Blu" , G61 + 'Over View'!$B$6, IF(B61 = "Verde" , G61 + 'Over View'!$B$7, IF(B61 = "Rosso" , G61 + 'Over View'!$B$8, "Grado Non Inserito") )))))</f>
        <v>45705</v>
      </c>
      <c r="I61" s="66" t="b">
        <v>0</v>
      </c>
      <c r="J61" s="67"/>
      <c r="K61" s="68"/>
      <c r="L61" s="69" t="str">
        <f t="shared" si="1"/>
        <v>off set</v>
      </c>
    </row>
    <row r="62" ht="22.5" customHeight="1">
      <c r="A62" s="59">
        <v>61.0</v>
      </c>
      <c r="B62" s="60" t="s">
        <v>16</v>
      </c>
      <c r="C62" s="61">
        <v>5.0</v>
      </c>
      <c r="D62" s="62"/>
      <c r="E62" s="60" t="s">
        <v>20</v>
      </c>
      <c r="F62" s="60" t="s">
        <v>14</v>
      </c>
      <c r="G62" s="70">
        <v>45684.0</v>
      </c>
      <c r="H62" s="65">
        <f>IF(B62 = "Smile", G62 + 'Over View'!$B$3, IF(B62 = "Bianco" , G62 + 'Over View'!$B$4, IF(B62 = "Giallo" , G62 + 'Over View'!$B$5, IF(B62 = "Blu" , G62 + 'Over View'!$B$6, IF(B62 = "Verde" , G62 + 'Over View'!$B$7, IF(B62 = "Rosso" , G62 + 'Over View'!$B$8, "Grado Non Inserito") )))))</f>
        <v>45698</v>
      </c>
      <c r="I62" s="66" t="b">
        <v>0</v>
      </c>
      <c r="J62" s="71"/>
      <c r="K62" s="68">
        <v>45699.0</v>
      </c>
      <c r="L62" s="69" t="str">
        <f t="shared" si="1"/>
        <v>off set</v>
      </c>
    </row>
    <row r="63" ht="22.5" customHeight="1">
      <c r="A63" s="59">
        <v>62.0</v>
      </c>
      <c r="B63" s="60" t="s">
        <v>12</v>
      </c>
      <c r="C63" s="61">
        <v>11.0</v>
      </c>
      <c r="D63" s="62"/>
      <c r="E63" s="60" t="s">
        <v>20</v>
      </c>
      <c r="F63" s="60" t="s">
        <v>36</v>
      </c>
      <c r="G63" s="70">
        <v>45684.0</v>
      </c>
      <c r="H63" s="65">
        <f>IF(B63 = "Smile", G63 + 'Over View'!$B$3, IF(B63 = "Bianco" , G63 + 'Over View'!$B$4, IF(B63 = "Giallo" , G63 + 'Over View'!$B$5, IF(B63 = "Blu" , G63 + 'Over View'!$B$6, IF(B63 = "Verde" , G63 + 'Over View'!$B$7, IF(B63 = "Rosso" , G63 + 'Over View'!$B$8, "Grado Non Inserito") )))))</f>
        <v>45714</v>
      </c>
      <c r="I63" s="66" t="b">
        <v>0</v>
      </c>
      <c r="J63" s="71"/>
      <c r="K63" s="72"/>
      <c r="L63" s="69" t="str">
        <f t="shared" si="1"/>
        <v>off set</v>
      </c>
    </row>
    <row r="64" ht="22.5" customHeight="1">
      <c r="A64" s="59">
        <v>63.0</v>
      </c>
      <c r="B64" s="60" t="s">
        <v>16</v>
      </c>
      <c r="C64" s="61">
        <v>1.0</v>
      </c>
      <c r="D64" s="62"/>
      <c r="E64" s="60" t="s">
        <v>20</v>
      </c>
      <c r="F64" s="60" t="s">
        <v>14</v>
      </c>
      <c r="G64" s="70">
        <v>45684.0</v>
      </c>
      <c r="H64" s="65">
        <f>IF(B64 = "Smile", G64 + 'Over View'!$B$3, IF(B64 = "Bianco" , G64 + 'Over View'!$B$4, IF(B64 = "Giallo" , G64 + 'Over View'!$B$5, IF(B64 = "Blu" , G64 + 'Over View'!$B$6, IF(B64 = "Verde" , G64 + 'Over View'!$B$7, IF(B64 = "Rosso" , G64 + 'Over View'!$B$8, "Grado Non Inserito") )))))</f>
        <v>45698</v>
      </c>
      <c r="I64" s="66" t="b">
        <v>0</v>
      </c>
      <c r="J64" s="71"/>
      <c r="K64" s="72"/>
      <c r="L64" s="69" t="str">
        <f t="shared" si="1"/>
        <v>off set</v>
      </c>
    </row>
    <row r="65" ht="22.5" customHeight="1">
      <c r="A65" s="59">
        <v>64.0</v>
      </c>
      <c r="B65" s="60" t="s">
        <v>23</v>
      </c>
      <c r="C65" s="61">
        <v>3.0</v>
      </c>
      <c r="D65" s="62"/>
      <c r="E65" s="60" t="s">
        <v>26</v>
      </c>
      <c r="F65" s="60" t="s">
        <v>14</v>
      </c>
      <c r="G65" s="70">
        <v>45684.0</v>
      </c>
      <c r="H65" s="65">
        <f>IF(B65 = "Smile", G65 + 'Over View'!$B$3, IF(B65 = "Bianco" , G65 + 'Over View'!$B$4, IF(B65 = "Giallo" , G65 + 'Over View'!$B$5, IF(B65 = "Blu" , G65 + 'Over View'!$B$6, IF(B65 = "Verde" , G65 + 'Over View'!$B$7, IF(B65 = "Rosso" , G65 + 'Over View'!$B$8, "Grado Non Inserito") )))))</f>
        <v>45705</v>
      </c>
      <c r="I65" s="66" t="b">
        <v>0</v>
      </c>
      <c r="J65" s="71"/>
      <c r="K65" s="72"/>
      <c r="L65" s="69" t="str">
        <f t="shared" si="1"/>
        <v>off set</v>
      </c>
    </row>
    <row r="66" ht="22.5" customHeight="1">
      <c r="A66" s="59">
        <v>65.0</v>
      </c>
      <c r="B66" s="60" t="s">
        <v>21</v>
      </c>
      <c r="C66" s="61">
        <v>10.0</v>
      </c>
      <c r="D66" s="62"/>
      <c r="E66" s="60" t="s">
        <v>26</v>
      </c>
      <c r="F66" s="60" t="s">
        <v>14</v>
      </c>
      <c r="G66" s="70">
        <v>45684.0</v>
      </c>
      <c r="H66" s="65">
        <f>IF(B66 = "Smile", G66 + 'Over View'!$B$3, IF(B66 = "Bianco" , G66 + 'Over View'!$B$4, IF(B66 = "Giallo" , G66 + 'Over View'!$B$5, IF(B66 = "Blu" , G66 + 'Over View'!$B$6, IF(B66 = "Verde" , G66 + 'Over View'!$B$7, IF(B66 = "Rosso" , G66 + 'Over View'!$B$8, "Grado Non Inserito") )))))</f>
        <v>45698</v>
      </c>
      <c r="I66" s="66" t="b">
        <v>0</v>
      </c>
      <c r="J66" s="71"/>
      <c r="K66" s="72"/>
      <c r="L66" s="69" t="str">
        <f t="shared" si="1"/>
        <v>off set</v>
      </c>
    </row>
    <row r="67" ht="22.5" customHeight="1">
      <c r="A67" s="59">
        <v>66.0</v>
      </c>
      <c r="B67" s="60" t="s">
        <v>16</v>
      </c>
      <c r="C67" s="61">
        <v>3.0</v>
      </c>
      <c r="D67" s="62"/>
      <c r="E67" s="60" t="s">
        <v>26</v>
      </c>
      <c r="F67" s="60" t="s">
        <v>14</v>
      </c>
      <c r="G67" s="70">
        <v>45684.0</v>
      </c>
      <c r="H67" s="65">
        <f>IF(B67 = "Smile", G67 + 'Over View'!$B$3, IF(B67 = "Bianco" , G67 + 'Over View'!$B$4, IF(B67 = "Giallo" , G67 + 'Over View'!$B$5, IF(B67 = "Blu" , G67 + 'Over View'!$B$6, IF(B67 = "Verde" , G67 + 'Over View'!$B$7, IF(B67 = "Rosso" , G67 + 'Over View'!$B$8, "Grado Non Inserito") )))))</f>
        <v>45698</v>
      </c>
      <c r="I67" s="66" t="b">
        <v>0</v>
      </c>
      <c r="J67" s="71"/>
      <c r="K67" s="72"/>
      <c r="L67" s="69" t="str">
        <f t="shared" si="1"/>
        <v>off set</v>
      </c>
    </row>
    <row r="68" ht="22.5" customHeight="1">
      <c r="A68" s="59">
        <v>67.0</v>
      </c>
      <c r="B68" s="60" t="s">
        <v>18</v>
      </c>
      <c r="C68" s="61">
        <v>8.0</v>
      </c>
      <c r="D68" s="62"/>
      <c r="E68" s="60" t="s">
        <v>26</v>
      </c>
      <c r="F68" s="60" t="s">
        <v>14</v>
      </c>
      <c r="G68" s="70">
        <v>45684.0</v>
      </c>
      <c r="H68" s="65">
        <f>IF(B68 = "Smile", G68 + 'Over View'!$B$3, IF(B68 = "Bianco" , G68 + 'Over View'!$B$4, IF(B68 = "Giallo" , G68 + 'Over View'!$B$5, IF(B68 = "Blu" , G68 + 'Over View'!$B$6, IF(B68 = "Verde" , G68 + 'Over View'!$B$7, IF(B68 = "Rosso" , G68 + 'Over View'!$B$8, "Grado Non Inserito") )))))</f>
        <v>45714</v>
      </c>
      <c r="I68" s="66" t="b">
        <v>0</v>
      </c>
      <c r="J68" s="71"/>
      <c r="K68" s="72"/>
      <c r="L68" s="69" t="str">
        <f t="shared" si="1"/>
        <v>off set</v>
      </c>
    </row>
    <row r="69" ht="22.5" customHeight="1">
      <c r="A69" s="59">
        <v>68.0</v>
      </c>
      <c r="B69" s="60" t="s">
        <v>12</v>
      </c>
      <c r="C69" s="61">
        <v>12.0</v>
      </c>
      <c r="D69" s="62"/>
      <c r="E69" s="60" t="s">
        <v>28</v>
      </c>
      <c r="F69" s="60" t="s">
        <v>40</v>
      </c>
      <c r="G69" s="70">
        <v>45684.0</v>
      </c>
      <c r="H69" s="65">
        <f>IF(B69 = "Smile", G69 + 'Over View'!$B$3, IF(B69 = "Bianco" , G69 + 'Over View'!$B$4, IF(B69 = "Giallo" , G69 + 'Over View'!$B$5, IF(B69 = "Blu" , G69 + 'Over View'!$B$6, IF(B69 = "Verde" , G69 + 'Over View'!$B$7, IF(B69 = "Rosso" , G69 + 'Over View'!$B$8, "Grado Non Inserito") )))))</f>
        <v>45714</v>
      </c>
      <c r="I69" s="66" t="b">
        <v>0</v>
      </c>
      <c r="J69" s="71"/>
      <c r="K69" s="72"/>
      <c r="L69" s="69" t="str">
        <f t="shared" si="1"/>
        <v>off set</v>
      </c>
    </row>
    <row r="70" ht="22.5" customHeight="1">
      <c r="A70" s="59">
        <v>69.0</v>
      </c>
      <c r="B70" s="60" t="s">
        <v>16</v>
      </c>
      <c r="C70" s="61">
        <v>6.0</v>
      </c>
      <c r="D70" s="62"/>
      <c r="E70" s="60" t="s">
        <v>28</v>
      </c>
      <c r="F70" s="60" t="s">
        <v>24</v>
      </c>
      <c r="G70" s="70">
        <v>45684.0</v>
      </c>
      <c r="H70" s="65">
        <f>IF(B70 = "Smile", G70 + 'Over View'!$B$3, IF(B70 = "Bianco" , G70 + 'Over View'!$B$4, IF(B70 = "Giallo" , G70 + 'Over View'!$B$5, IF(B70 = "Blu" , G70 + 'Over View'!$B$6, IF(B70 = "Verde" , G70 + 'Over View'!$B$7, IF(B70 = "Rosso" , G70 + 'Over View'!$B$8, "Grado Non Inserito") )))))</f>
        <v>45698</v>
      </c>
      <c r="I70" s="66" t="b">
        <v>0</v>
      </c>
      <c r="J70" s="71"/>
      <c r="K70" s="68">
        <v>45706.0</v>
      </c>
      <c r="L70" s="69" t="str">
        <f t="shared" si="1"/>
        <v>off set</v>
      </c>
    </row>
    <row r="71" ht="22.5" customHeight="1">
      <c r="A71" s="59">
        <v>70.0</v>
      </c>
      <c r="B71" s="60" t="s">
        <v>12</v>
      </c>
      <c r="C71" s="61">
        <v>7.0</v>
      </c>
      <c r="D71" s="62"/>
      <c r="E71" s="60" t="s">
        <v>30</v>
      </c>
      <c r="F71" s="60" t="s">
        <v>14</v>
      </c>
      <c r="G71" s="70">
        <v>45684.0</v>
      </c>
      <c r="H71" s="65">
        <f>IF(B71 = "Smile", G71 + 'Over View'!$B$3, IF(B71 = "Bianco" , G71 + 'Over View'!$B$4, IF(B71 = "Giallo" , G71 + 'Over View'!$B$5, IF(B71 = "Blu" , G71 + 'Over View'!$B$6, IF(B71 = "Verde" , G71 + 'Over View'!$B$7, IF(B71 = "Rosso" , G71 + 'Over View'!$B$8, "Grado Non Inserito") )))))</f>
        <v>45714</v>
      </c>
      <c r="I71" s="66" t="b">
        <v>0</v>
      </c>
      <c r="J71" s="71"/>
      <c r="K71" s="72"/>
      <c r="L71" s="69" t="str">
        <f t="shared" si="1"/>
        <v>off set</v>
      </c>
    </row>
    <row r="72" ht="22.5" customHeight="1">
      <c r="A72" s="59">
        <v>71.0</v>
      </c>
      <c r="B72" s="60" t="s">
        <v>23</v>
      </c>
      <c r="C72" s="61">
        <v>1.0</v>
      </c>
      <c r="D72" s="62"/>
      <c r="E72" s="60" t="s">
        <v>30</v>
      </c>
      <c r="F72" s="60" t="s">
        <v>40</v>
      </c>
      <c r="G72" s="70">
        <v>45684.0</v>
      </c>
      <c r="H72" s="65">
        <f>IF(B72 = "Smile", G72 + 'Over View'!$B$3, IF(B72 = "Bianco" , G72 + 'Over View'!$B$4, IF(B72 = "Giallo" , G72 + 'Over View'!$B$5, IF(B72 = "Blu" , G72 + 'Over View'!$B$6, IF(B72 = "Verde" , G72 + 'Over View'!$B$7, IF(B72 = "Rosso" , G72 + 'Over View'!$B$8, "Grado Non Inserito") )))))</f>
        <v>45705</v>
      </c>
      <c r="I72" s="66" t="b">
        <v>0</v>
      </c>
      <c r="J72" s="71"/>
      <c r="K72" s="72"/>
      <c r="L72" s="69" t="str">
        <f t="shared" si="1"/>
        <v>off set</v>
      </c>
    </row>
    <row r="73" ht="22.5" customHeight="1">
      <c r="A73" s="59">
        <v>72.0</v>
      </c>
      <c r="B73" s="60" t="s">
        <v>12</v>
      </c>
      <c r="C73" s="61">
        <v>13.0</v>
      </c>
      <c r="D73" s="62"/>
      <c r="E73" s="60" t="s">
        <v>30</v>
      </c>
      <c r="F73" s="60" t="s">
        <v>40</v>
      </c>
      <c r="G73" s="70">
        <v>45684.0</v>
      </c>
      <c r="H73" s="65">
        <f>IF(B73 = "Smile", G73 + 'Over View'!$B$3, IF(B73 = "Bianco" , G73 + 'Over View'!$B$4, IF(B73 = "Giallo" , G73 + 'Over View'!$B$5, IF(B73 = "Blu" , G73 + 'Over View'!$B$6, IF(B73 = "Verde" , G73 + 'Over View'!$B$7, IF(B73 = "Rosso" , G73 + 'Over View'!$B$8, "Grado Non Inserito") )))))</f>
        <v>45714</v>
      </c>
      <c r="I73" s="66" t="b">
        <v>0</v>
      </c>
      <c r="J73" s="71"/>
      <c r="K73" s="72"/>
      <c r="L73" s="69" t="str">
        <f t="shared" si="1"/>
        <v>off set</v>
      </c>
    </row>
    <row r="74" ht="22.5" customHeight="1">
      <c r="A74" s="59">
        <v>73.0</v>
      </c>
      <c r="B74" s="60" t="s">
        <v>12</v>
      </c>
      <c r="C74" s="61">
        <v>19.0</v>
      </c>
      <c r="D74" s="62"/>
      <c r="E74" s="60" t="s">
        <v>32</v>
      </c>
      <c r="F74" s="60" t="s">
        <v>24</v>
      </c>
      <c r="G74" s="70">
        <v>45684.0</v>
      </c>
      <c r="H74" s="65">
        <f>IF(B74 = "Smile", G74 + 'Over View'!$B$3, IF(B74 = "Bianco" , G74 + 'Over View'!$B$4, IF(B74 = "Giallo" , G74 + 'Over View'!$B$5, IF(B74 = "Blu" , G74 + 'Over View'!$B$6, IF(B74 = "Verde" , G74 + 'Over View'!$B$7, IF(B74 = "Rosso" , G74 + 'Over View'!$B$8, "Grado Non Inserito") )))))</f>
        <v>45714</v>
      </c>
      <c r="I74" s="66" t="b">
        <v>0</v>
      </c>
      <c r="J74" s="71"/>
      <c r="K74" s="68">
        <v>45755.0</v>
      </c>
      <c r="L74" s="69" t="str">
        <f t="shared" si="1"/>
        <v>off set</v>
      </c>
    </row>
    <row r="75" ht="22.5" customHeight="1">
      <c r="A75" s="59">
        <v>74.0</v>
      </c>
      <c r="B75" s="60" t="s">
        <v>21</v>
      </c>
      <c r="C75" s="61">
        <v>14.0</v>
      </c>
      <c r="D75" s="62"/>
      <c r="E75" s="60" t="s">
        <v>32</v>
      </c>
      <c r="F75" s="60" t="s">
        <v>24</v>
      </c>
      <c r="G75" s="70">
        <v>45684.0</v>
      </c>
      <c r="H75" s="65">
        <f>IF(B75 = "Smile", G75 + 'Over View'!$B$3, IF(B75 = "Bianco" , G75 + 'Over View'!$B$4, IF(B75 = "Giallo" , G75 + 'Over View'!$B$5, IF(B75 = "Blu" , G75 + 'Over View'!$B$6, IF(B75 = "Verde" , G75 + 'Over View'!$B$7, IF(B75 = "Rosso" , G75 + 'Over View'!$B$8, "Grado Non Inserito") )))))</f>
        <v>45698</v>
      </c>
      <c r="I75" s="66" t="b">
        <v>0</v>
      </c>
      <c r="J75" s="71"/>
      <c r="K75" s="72"/>
      <c r="L75" s="69" t="str">
        <f t="shared" si="1"/>
        <v>off set</v>
      </c>
    </row>
    <row r="76" ht="22.5" customHeight="1">
      <c r="A76" s="59">
        <v>75.0</v>
      </c>
      <c r="B76" s="60" t="s">
        <v>16</v>
      </c>
      <c r="C76" s="61">
        <v>7.0</v>
      </c>
      <c r="D76" s="62"/>
      <c r="E76" s="60" t="s">
        <v>32</v>
      </c>
      <c r="F76" s="60" t="s">
        <v>14</v>
      </c>
      <c r="G76" s="70">
        <v>45684.0</v>
      </c>
      <c r="H76" s="65">
        <f>IF(B76 = "Smile", G76 + 'Over View'!$B$3, IF(B76 = "Bianco" , G76 + 'Over View'!$B$4, IF(B76 = "Giallo" , G76 + 'Over View'!$B$5, IF(B76 = "Blu" , G76 + 'Over View'!$B$6, IF(B76 = "Verde" , G76 + 'Over View'!$B$7, IF(B76 = "Rosso" , G76 + 'Over View'!$B$8, "Grado Non Inserito") )))))</f>
        <v>45698</v>
      </c>
      <c r="I76" s="66" t="b">
        <v>0</v>
      </c>
      <c r="J76" s="71"/>
      <c r="K76" s="72"/>
      <c r="L76" s="69" t="str">
        <f t="shared" si="1"/>
        <v>off set</v>
      </c>
    </row>
    <row r="77" ht="22.5" customHeight="1">
      <c r="A77" s="59">
        <v>76.0</v>
      </c>
      <c r="B77" s="60" t="s">
        <v>12</v>
      </c>
      <c r="C77" s="61">
        <v>1.0</v>
      </c>
      <c r="D77" s="62"/>
      <c r="E77" s="60" t="s">
        <v>32</v>
      </c>
      <c r="F77" s="60" t="s">
        <v>14</v>
      </c>
      <c r="G77" s="70">
        <v>45684.0</v>
      </c>
      <c r="H77" s="65">
        <f>IF(B77 = "Smile", G77 + 'Over View'!$B$3, IF(B77 = "Bianco" , G77 + 'Over View'!$B$4, IF(B77 = "Giallo" , G77 + 'Over View'!$B$5, IF(B77 = "Blu" , G77 + 'Over View'!$B$6, IF(B77 = "Verde" , G77 + 'Over View'!$B$7, IF(B77 = "Rosso" , G77 + 'Over View'!$B$8, "Grado Non Inserito") )))))</f>
        <v>45714</v>
      </c>
      <c r="I77" s="66" t="b">
        <v>0</v>
      </c>
      <c r="J77" s="71"/>
      <c r="K77" s="72"/>
      <c r="L77" s="69" t="str">
        <f t="shared" si="1"/>
        <v>off set</v>
      </c>
    </row>
    <row r="78" ht="22.5" customHeight="1">
      <c r="A78" s="59">
        <v>77.0</v>
      </c>
      <c r="B78" s="60" t="s">
        <v>16</v>
      </c>
      <c r="C78" s="61">
        <v>10.0</v>
      </c>
      <c r="D78" s="62"/>
      <c r="E78" s="60" t="s">
        <v>33</v>
      </c>
      <c r="F78" s="60" t="s">
        <v>40</v>
      </c>
      <c r="G78" s="70">
        <v>45684.0</v>
      </c>
      <c r="H78" s="65">
        <f>IF(B78 = "Smile", G78 + 'Over View'!$B$3, IF(B78 = "Bianco" , G78 + 'Over View'!$B$4, IF(B78 = "Giallo" , G78 + 'Over View'!$B$5, IF(B78 = "Blu" , G78 + 'Over View'!$B$6, IF(B78 = "Verde" , G78 + 'Over View'!$B$7, IF(B78 = "Rosso" , G78 + 'Over View'!$B$8, "Grado Non Inserito") )))))</f>
        <v>45698</v>
      </c>
      <c r="I78" s="66" t="b">
        <v>0</v>
      </c>
      <c r="J78" s="71"/>
      <c r="K78" s="72"/>
      <c r="L78" s="69" t="str">
        <f t="shared" si="1"/>
        <v>off set</v>
      </c>
    </row>
    <row r="79" ht="22.5" customHeight="1">
      <c r="A79" s="59">
        <v>78.0</v>
      </c>
      <c r="B79" s="60" t="s">
        <v>12</v>
      </c>
      <c r="C79" s="61">
        <v>8.0</v>
      </c>
      <c r="D79" s="62"/>
      <c r="E79" s="60" t="s">
        <v>33</v>
      </c>
      <c r="F79" s="60" t="s">
        <v>14</v>
      </c>
      <c r="G79" s="70">
        <v>45684.0</v>
      </c>
      <c r="H79" s="65">
        <f>IF(B79 = "Smile", G79 + 'Over View'!$B$3, IF(B79 = "Bianco" , G79 + 'Over View'!$B$4, IF(B79 = "Giallo" , G79 + 'Over View'!$B$5, IF(B79 = "Blu" , G79 + 'Over View'!$B$6, IF(B79 = "Verde" , G79 + 'Over View'!$B$7, IF(B79 = "Rosso" , G79 + 'Over View'!$B$8, "Grado Non Inserito") )))))</f>
        <v>45714</v>
      </c>
      <c r="I79" s="66" t="b">
        <v>0</v>
      </c>
      <c r="J79" s="71"/>
      <c r="K79" s="72"/>
      <c r="L79" s="69" t="str">
        <f t="shared" si="1"/>
        <v>off set</v>
      </c>
    </row>
    <row r="80" ht="22.5" customHeight="1">
      <c r="A80" s="59">
        <v>79.0</v>
      </c>
      <c r="B80" s="60" t="s">
        <v>23</v>
      </c>
      <c r="C80" s="61">
        <v>4.0</v>
      </c>
      <c r="D80" s="62"/>
      <c r="E80" s="60" t="s">
        <v>33</v>
      </c>
      <c r="F80" s="60" t="s">
        <v>14</v>
      </c>
      <c r="G80" s="70">
        <v>45684.0</v>
      </c>
      <c r="H80" s="65">
        <f>IF(B80 = "Smile", G80 + 'Over View'!$B$3, IF(B80 = "Bianco" , G80 + 'Over View'!$B$4, IF(B80 = "Giallo" , G80 + 'Over View'!$B$5, IF(B80 = "Blu" , G80 + 'Over View'!$B$6, IF(B80 = "Verde" , G80 + 'Over View'!$B$7, IF(B80 = "Rosso" , G80 + 'Over View'!$B$8, "Grado Non Inserito") )))))</f>
        <v>45705</v>
      </c>
      <c r="I80" s="66" t="b">
        <v>0</v>
      </c>
      <c r="J80" s="71"/>
      <c r="K80" s="68">
        <v>45706.0</v>
      </c>
      <c r="L80" s="69" t="str">
        <f t="shared" si="1"/>
        <v>off set</v>
      </c>
    </row>
    <row r="81" ht="22.5" customHeight="1">
      <c r="A81" s="59">
        <v>80.0</v>
      </c>
      <c r="B81" s="60" t="s">
        <v>16</v>
      </c>
      <c r="C81" s="61">
        <v>14.0</v>
      </c>
      <c r="D81" s="62"/>
      <c r="E81" s="60" t="s">
        <v>35</v>
      </c>
      <c r="F81" s="60" t="s">
        <v>14</v>
      </c>
      <c r="G81" s="70">
        <v>45684.0</v>
      </c>
      <c r="H81" s="65">
        <f>IF(B81 = "Smile", G81 + 'Over View'!$B$3, IF(B81 = "Bianco" , G81 + 'Over View'!$B$4, IF(B81 = "Giallo" , G81 + 'Over View'!$B$5, IF(B81 = "Blu" , G81 + 'Over View'!$B$6, IF(B81 = "Verde" , G81 + 'Over View'!$B$7, IF(B81 = "Rosso" , G81 + 'Over View'!$B$8, "Grado Non Inserito") )))))</f>
        <v>45698</v>
      </c>
      <c r="I81" s="66" t="b">
        <v>0</v>
      </c>
      <c r="J81" s="71"/>
      <c r="K81" s="72"/>
      <c r="L81" s="69" t="str">
        <f t="shared" si="1"/>
        <v>off set</v>
      </c>
    </row>
    <row r="82" ht="22.5" customHeight="1">
      <c r="A82" s="59">
        <v>81.0</v>
      </c>
      <c r="B82" s="60" t="s">
        <v>21</v>
      </c>
      <c r="C82" s="61">
        <v>3.0</v>
      </c>
      <c r="D82" s="62"/>
      <c r="E82" s="60" t="s">
        <v>35</v>
      </c>
      <c r="F82" s="60" t="s">
        <v>40</v>
      </c>
      <c r="G82" s="70">
        <v>45684.0</v>
      </c>
      <c r="H82" s="65">
        <f>IF(B82 = "Smile", G82 + 'Over View'!$B$3, IF(B82 = "Bianco" , G82 + 'Over View'!$B$4, IF(B82 = "Giallo" , G82 + 'Over View'!$B$5, IF(B82 = "Blu" , G82 + 'Over View'!$B$6, IF(B82 = "Verde" , G82 + 'Over View'!$B$7, IF(B82 = "Rosso" , G82 + 'Over View'!$B$8, "Grado Non Inserito") )))))</f>
        <v>45698</v>
      </c>
      <c r="I82" s="66" t="b">
        <v>0</v>
      </c>
      <c r="J82" s="71"/>
      <c r="K82" s="72"/>
      <c r="L82" s="69" t="str">
        <f t="shared" si="1"/>
        <v>off set</v>
      </c>
    </row>
    <row r="83" ht="22.5" customHeight="1">
      <c r="A83" s="59">
        <v>82.0</v>
      </c>
      <c r="B83" s="60" t="s">
        <v>18</v>
      </c>
      <c r="C83" s="61">
        <v>12.0</v>
      </c>
      <c r="D83" s="62"/>
      <c r="E83" s="60" t="s">
        <v>35</v>
      </c>
      <c r="F83" s="60" t="s">
        <v>40</v>
      </c>
      <c r="G83" s="70">
        <v>45684.0</v>
      </c>
      <c r="H83" s="65">
        <f>IF(B83 = "Smile", G83 + 'Over View'!$B$3, IF(B83 = "Bianco" , G83 + 'Over View'!$B$4, IF(B83 = "Giallo" , G83 + 'Over View'!$B$5, IF(B83 = "Blu" , G83 + 'Over View'!$B$6, IF(B83 = "Verde" , G83 + 'Over View'!$B$7, IF(B83 = "Rosso" , G83 + 'Over View'!$B$8, "Grado Non Inserito") )))))</f>
        <v>45714</v>
      </c>
      <c r="I83" s="66" t="b">
        <v>0</v>
      </c>
      <c r="J83" s="71"/>
      <c r="K83" s="72"/>
      <c r="L83" s="69" t="str">
        <f t="shared" si="1"/>
        <v>off set</v>
      </c>
    </row>
    <row r="84" ht="22.5" customHeight="1">
      <c r="A84" s="59">
        <v>83.0</v>
      </c>
      <c r="B84" s="60" t="s">
        <v>12</v>
      </c>
      <c r="C84" s="61">
        <v>8.0</v>
      </c>
      <c r="D84" s="62"/>
      <c r="E84" s="60" t="s">
        <v>35</v>
      </c>
      <c r="F84" s="60" t="s">
        <v>14</v>
      </c>
      <c r="G84" s="70">
        <v>45684.0</v>
      </c>
      <c r="H84" s="65">
        <f>IF(B84 = "Smile", G84 + 'Over View'!$B$3, IF(B84 = "Bianco" , G84 + 'Over View'!$B$4, IF(B84 = "Giallo" , G84 + 'Over View'!$B$5, IF(B84 = "Blu" , G84 + 'Over View'!$B$6, IF(B84 = "Verde" , G84 + 'Over View'!$B$7, IF(B84 = "Rosso" , G84 + 'Over View'!$B$8, "Grado Non Inserito") )))))</f>
        <v>45714</v>
      </c>
      <c r="I84" s="66" t="b">
        <v>0</v>
      </c>
      <c r="J84" s="71"/>
      <c r="K84" s="72"/>
      <c r="L84" s="69" t="str">
        <f t="shared" si="1"/>
        <v>off set</v>
      </c>
    </row>
    <row r="85" ht="22.5" customHeight="1">
      <c r="A85" s="59">
        <v>84.0</v>
      </c>
      <c r="B85" s="60" t="s">
        <v>12</v>
      </c>
      <c r="C85" s="61">
        <v>9.0</v>
      </c>
      <c r="D85" s="62"/>
      <c r="E85" s="60" t="s">
        <v>35</v>
      </c>
      <c r="F85" s="60" t="s">
        <v>40</v>
      </c>
      <c r="G85" s="70">
        <v>45684.0</v>
      </c>
      <c r="H85" s="65">
        <f>IF(B85 = "Smile", G85 + 'Over View'!$B$3, IF(B85 = "Bianco" , G85 + 'Over View'!$B$4, IF(B85 = "Giallo" , G85 + 'Over View'!$B$5, IF(B85 = "Blu" , G85 + 'Over View'!$B$6, IF(B85 = "Verde" , G85 + 'Over View'!$B$7, IF(B85 = "Rosso" , G85 + 'Over View'!$B$8, "Grado Non Inserito") )))))</f>
        <v>45714</v>
      </c>
      <c r="I85" s="66" t="b">
        <v>0</v>
      </c>
      <c r="J85" s="71"/>
      <c r="K85" s="72"/>
      <c r="L85" s="69" t="str">
        <f t="shared" si="1"/>
        <v>off set</v>
      </c>
    </row>
    <row r="86" ht="22.5" customHeight="1">
      <c r="A86" s="59">
        <v>85.0</v>
      </c>
      <c r="B86" s="60" t="s">
        <v>12</v>
      </c>
      <c r="C86" s="61">
        <v>2.0</v>
      </c>
      <c r="D86" s="62"/>
      <c r="E86" s="60" t="s">
        <v>38</v>
      </c>
      <c r="F86" s="60" t="s">
        <v>40</v>
      </c>
      <c r="G86" s="70">
        <v>45684.0</v>
      </c>
      <c r="H86" s="65">
        <f>IF(B86 = "Smile", G86 + 'Over View'!$B$3, IF(B86 = "Bianco" , G86 + 'Over View'!$B$4, IF(B86 = "Giallo" , G86 + 'Over View'!$B$5, IF(B86 = "Blu" , G86 + 'Over View'!$B$6, IF(B86 = "Verde" , G86 + 'Over View'!$B$7, IF(B86 = "Rosso" , G86 + 'Over View'!$B$8, "Grado Non Inserito") )))))</f>
        <v>45714</v>
      </c>
      <c r="I86" s="66" t="b">
        <v>0</v>
      </c>
      <c r="J86" s="71"/>
      <c r="K86" s="72"/>
      <c r="L86" s="69" t="str">
        <f t="shared" si="1"/>
        <v>off set</v>
      </c>
    </row>
    <row r="87" ht="22.5" customHeight="1">
      <c r="A87" s="59">
        <v>86.0</v>
      </c>
      <c r="B87" s="60" t="s">
        <v>11</v>
      </c>
      <c r="C87" s="61">
        <v>12.0</v>
      </c>
      <c r="D87" s="62"/>
      <c r="E87" s="60" t="s">
        <v>38</v>
      </c>
      <c r="F87" s="60" t="s">
        <v>40</v>
      </c>
      <c r="G87" s="70">
        <v>45684.0</v>
      </c>
      <c r="H87" s="65">
        <f>IF(B87 = "Smile", G87 + 'Over View'!$B$3, IF(B87 = "Bianco" , G87 + 'Over View'!$B$4, IF(B87 = "Giallo" , G87 + 'Over View'!$B$5, IF(B87 = "Blu" , G87 + 'Over View'!$B$6, IF(B87 = "Verde" , G87 + 'Over View'!$B$7, IF(B87 = "Rosso" , G87 + 'Over View'!$B$8, "Grado Non Inserito") )))))</f>
        <v>45705</v>
      </c>
      <c r="I87" s="66" t="b">
        <v>0</v>
      </c>
      <c r="J87" s="71"/>
      <c r="K87" s="72"/>
      <c r="L87" s="69" t="str">
        <f t="shared" si="1"/>
        <v>off set</v>
      </c>
    </row>
    <row r="88" ht="22.5" customHeight="1">
      <c r="A88" s="59">
        <v>87.0</v>
      </c>
      <c r="B88" s="60" t="s">
        <v>18</v>
      </c>
      <c r="C88" s="61">
        <v>6.0</v>
      </c>
      <c r="D88" s="62"/>
      <c r="E88" s="60" t="s">
        <v>38</v>
      </c>
      <c r="F88" s="60" t="s">
        <v>40</v>
      </c>
      <c r="G88" s="70">
        <v>45684.0</v>
      </c>
      <c r="H88" s="65">
        <f>IF(B88 = "Smile", G88 + 'Over View'!$B$3, IF(B88 = "Bianco" , G88 + 'Over View'!$B$4, IF(B88 = "Giallo" , G88 + 'Over View'!$B$5, IF(B88 = "Blu" , G88 + 'Over View'!$B$6, IF(B88 = "Verde" , G88 + 'Over View'!$B$7, IF(B88 = "Rosso" , G88 + 'Over View'!$B$8, "Grado Non Inserito") )))))</f>
        <v>45714</v>
      </c>
      <c r="I88" s="66" t="b">
        <v>0</v>
      </c>
      <c r="J88" s="71"/>
      <c r="K88" s="72"/>
      <c r="L88" s="69" t="str">
        <f t="shared" si="1"/>
        <v>off set</v>
      </c>
    </row>
    <row r="89" ht="22.5" customHeight="1">
      <c r="A89" s="59">
        <v>88.0</v>
      </c>
      <c r="B89" s="60" t="s">
        <v>23</v>
      </c>
      <c r="C89" s="61">
        <v>8.0</v>
      </c>
      <c r="D89" s="62"/>
      <c r="E89" s="60" t="s">
        <v>38</v>
      </c>
      <c r="F89" s="60" t="s">
        <v>14</v>
      </c>
      <c r="G89" s="70">
        <v>45684.0</v>
      </c>
      <c r="H89" s="65">
        <f>IF(B89 = "Smile", G89 + 'Over View'!$B$3, IF(B89 = "Bianco" , G89 + 'Over View'!$B$4, IF(B89 = "Giallo" , G89 + 'Over View'!$B$5, IF(B89 = "Blu" , G89 + 'Over View'!$B$6, IF(B89 = "Verde" , G89 + 'Over View'!$B$7, IF(B89 = "Rosso" , G89 + 'Over View'!$B$8, "Grado Non Inserito") )))))</f>
        <v>45705</v>
      </c>
      <c r="I89" s="66" t="b">
        <v>0</v>
      </c>
      <c r="J89" s="71"/>
      <c r="K89" s="72"/>
      <c r="L89" s="69" t="str">
        <f t="shared" si="1"/>
        <v>off set</v>
      </c>
    </row>
    <row r="90" ht="22.5" customHeight="1">
      <c r="A90" s="59">
        <v>89.0</v>
      </c>
      <c r="B90" s="60" t="s">
        <v>18</v>
      </c>
      <c r="C90" s="61">
        <v>14.0</v>
      </c>
      <c r="D90" s="62"/>
      <c r="E90" s="60" t="s">
        <v>30</v>
      </c>
      <c r="F90" s="60" t="s">
        <v>40</v>
      </c>
      <c r="G90" s="70">
        <v>45685.0</v>
      </c>
      <c r="H90" s="65">
        <f>IF(B90 = "Smile", G90 + 'Over View'!$B$3, IF(B90 = "Bianco" , G90 + 'Over View'!$B$4, IF(B90 = "Giallo" , G90 + 'Over View'!$B$5, IF(B90 = "Blu" , G90 + 'Over View'!$B$6, IF(B90 = "Verde" , G90 + 'Over View'!$B$7, IF(B90 = "Rosso" , G90 + 'Over View'!$B$8, "Grado Non Inserito") )))))</f>
        <v>45715</v>
      </c>
      <c r="I90" s="66" t="b">
        <v>0</v>
      </c>
      <c r="J90" s="71"/>
      <c r="K90" s="72"/>
      <c r="L90" s="69" t="str">
        <f t="shared" si="1"/>
        <v>off set</v>
      </c>
    </row>
    <row r="91" ht="22.5" customHeight="1">
      <c r="A91" s="59">
        <v>90.0</v>
      </c>
      <c r="B91" s="60" t="s">
        <v>18</v>
      </c>
      <c r="C91" s="61">
        <v>18.0</v>
      </c>
      <c r="D91" s="62"/>
      <c r="E91" s="60" t="s">
        <v>20</v>
      </c>
      <c r="F91" s="60" t="s">
        <v>40</v>
      </c>
      <c r="G91" s="70">
        <v>45685.0</v>
      </c>
      <c r="H91" s="65">
        <f>IF(B91 = "Smile", G91 + 'Over View'!$B$3, IF(B91 = "Bianco" , G91 + 'Over View'!$B$4, IF(B91 = "Giallo" , G91 + 'Over View'!$B$5, IF(B91 = "Blu" , G91 + 'Over View'!$B$6, IF(B91 = "Verde" , G91 + 'Over View'!$B$7, IF(B91 = "Rosso" , G91 + 'Over View'!$B$8, "Grado Non Inserito") )))))</f>
        <v>45715</v>
      </c>
      <c r="I91" s="66" t="b">
        <v>0</v>
      </c>
      <c r="J91" s="71"/>
      <c r="K91" s="72"/>
      <c r="L91" s="69" t="str">
        <f t="shared" si="1"/>
        <v>off set</v>
      </c>
    </row>
    <row r="92" ht="22.5" customHeight="1">
      <c r="A92" s="59">
        <v>91.0</v>
      </c>
      <c r="B92" s="60" t="s">
        <v>21</v>
      </c>
      <c r="C92" s="61">
        <v>18.0</v>
      </c>
      <c r="D92" s="62"/>
      <c r="E92" s="60" t="s">
        <v>35</v>
      </c>
      <c r="F92" s="60" t="s">
        <v>24</v>
      </c>
      <c r="G92" s="70">
        <v>45685.0</v>
      </c>
      <c r="H92" s="65">
        <f>IF(B92 = "Smile", G92 + 'Over View'!$B$3, IF(B92 = "Bianco" , G92 + 'Over View'!$B$4, IF(B92 = "Giallo" , G92 + 'Over View'!$B$5, IF(B92 = "Blu" , G92 + 'Over View'!$B$6, IF(B92 = "Verde" , G92 + 'Over View'!$B$7, IF(B92 = "Rosso" , G92 + 'Over View'!$B$8, "Grado Non Inserito") )))))</f>
        <v>45699</v>
      </c>
      <c r="I92" s="66" t="b">
        <v>0</v>
      </c>
      <c r="J92" s="71"/>
      <c r="K92" s="72"/>
      <c r="L92" s="69" t="str">
        <f t="shared" si="1"/>
        <v>off set</v>
      </c>
    </row>
    <row r="93" ht="22.5" customHeight="1">
      <c r="A93" s="59">
        <v>92.0</v>
      </c>
      <c r="B93" s="60" t="s">
        <v>11</v>
      </c>
      <c r="C93" s="61">
        <v>15.0</v>
      </c>
      <c r="D93" s="62"/>
      <c r="E93" s="60" t="s">
        <v>26</v>
      </c>
      <c r="F93" s="60" t="s">
        <v>40</v>
      </c>
      <c r="G93" s="70">
        <v>45685.0</v>
      </c>
      <c r="H93" s="65">
        <f>IF(B93 = "Smile", G93 + 'Over View'!$B$3, IF(B93 = "Bianco" , G93 + 'Over View'!$B$4, IF(B93 = "Giallo" , G93 + 'Over View'!$B$5, IF(B93 = "Blu" , G93 + 'Over View'!$B$6, IF(B93 = "Verde" , G93 + 'Over View'!$B$7, IF(B93 = "Rosso" , G93 + 'Over View'!$B$8, "Grado Non Inserito") )))))</f>
        <v>45706</v>
      </c>
      <c r="I93" s="66" t="b">
        <v>0</v>
      </c>
      <c r="J93" s="71"/>
      <c r="K93" s="72"/>
      <c r="L93" s="69" t="str">
        <f t="shared" si="1"/>
        <v>off set</v>
      </c>
    </row>
    <row r="94" ht="22.5" customHeight="1">
      <c r="A94" s="59">
        <v>93.0</v>
      </c>
      <c r="B94" s="60" t="s">
        <v>21</v>
      </c>
      <c r="C94" s="61">
        <v>20.0</v>
      </c>
      <c r="D94" s="62"/>
      <c r="E94" s="60" t="s">
        <v>13</v>
      </c>
      <c r="F94" s="60" t="s">
        <v>24</v>
      </c>
      <c r="G94" s="70">
        <v>45685.0</v>
      </c>
      <c r="H94" s="65">
        <f>IF(B94 = "Smile", G94 + 'Over View'!$B$3, IF(B94 = "Bianco" , G94 + 'Over View'!$B$4, IF(B94 = "Giallo" , G94 + 'Over View'!$B$5, IF(B94 = "Blu" , G94 + 'Over View'!$B$6, IF(B94 = "Verde" , G94 + 'Over View'!$B$7, IF(B94 = "Rosso" , G94 + 'Over View'!$B$8, "Grado Non Inserito") )))))</f>
        <v>45699</v>
      </c>
      <c r="I94" s="66" t="b">
        <v>0</v>
      </c>
      <c r="J94" s="71"/>
      <c r="K94" s="68">
        <v>45706.0</v>
      </c>
      <c r="L94" s="69" t="str">
        <f t="shared" si="1"/>
        <v>off set</v>
      </c>
    </row>
    <row r="95" ht="22.5" customHeight="1">
      <c r="A95" s="59">
        <v>94.0</v>
      </c>
      <c r="B95" s="60" t="s">
        <v>21</v>
      </c>
      <c r="C95" s="61">
        <v>11.0</v>
      </c>
      <c r="D95" s="62"/>
      <c r="E95" s="60" t="s">
        <v>30</v>
      </c>
      <c r="F95" s="60" t="s">
        <v>14</v>
      </c>
      <c r="G95" s="70">
        <v>45685.0</v>
      </c>
      <c r="H95" s="65">
        <f>IF(B95 = "Smile", G95 + 'Over View'!$B$3, IF(B95 = "Bianco" , G95 + 'Over View'!$B$4, IF(B95 = "Giallo" , G95 + 'Over View'!$B$5, IF(B95 = "Blu" , G95 + 'Over View'!$B$6, IF(B95 = "Verde" , G95 + 'Over View'!$B$7, IF(B95 = "Rosso" , G95 + 'Over View'!$B$8, "Grado Non Inserito") )))))</f>
        <v>45699</v>
      </c>
      <c r="I95" s="66" t="b">
        <v>0</v>
      </c>
      <c r="J95" s="71"/>
      <c r="K95" s="72"/>
      <c r="L95" s="69" t="str">
        <f t="shared" si="1"/>
        <v>off set</v>
      </c>
    </row>
    <row r="96" ht="22.5" customHeight="1">
      <c r="A96" s="59">
        <v>95.0</v>
      </c>
      <c r="B96" s="60" t="s">
        <v>21</v>
      </c>
      <c r="C96" s="61">
        <v>12.0</v>
      </c>
      <c r="D96" s="62"/>
      <c r="E96" s="60" t="s">
        <v>28</v>
      </c>
      <c r="F96" s="60" t="s">
        <v>14</v>
      </c>
      <c r="G96" s="70">
        <v>45686.0</v>
      </c>
      <c r="H96" s="65">
        <f>IF(B96 = "Smile", G96 + 'Over View'!$B$3, IF(B96 = "Bianco" , G96 + 'Over View'!$B$4, IF(B96 = "Giallo" , G96 + 'Over View'!$B$5, IF(B96 = "Blu" , G96 + 'Over View'!$B$6, IF(B96 = "Verde" , G96 + 'Over View'!$B$7, IF(B96 = "Rosso" , G96 + 'Over View'!$B$8, "Grado Non Inserito") )))))</f>
        <v>45700</v>
      </c>
      <c r="I96" s="66" t="b">
        <v>0</v>
      </c>
      <c r="J96" s="71"/>
      <c r="K96" s="72"/>
      <c r="L96" s="69" t="str">
        <f t="shared" si="1"/>
        <v>off set</v>
      </c>
    </row>
    <row r="97" ht="22.5" customHeight="1">
      <c r="A97" s="59">
        <v>96.0</v>
      </c>
      <c r="B97" s="60" t="s">
        <v>11</v>
      </c>
      <c r="C97" s="61">
        <v>7.0</v>
      </c>
      <c r="D97" s="62"/>
      <c r="E97" s="60" t="s">
        <v>20</v>
      </c>
      <c r="F97" s="60" t="s">
        <v>40</v>
      </c>
      <c r="G97" s="70">
        <v>45686.0</v>
      </c>
      <c r="H97" s="65">
        <f>IF(B97 = "Smile", G97 + 'Over View'!$B$3, IF(B97 = "Bianco" , G97 + 'Over View'!$B$4, IF(B97 = "Giallo" , G97 + 'Over View'!$B$5, IF(B97 = "Blu" , G97 + 'Over View'!$B$6, IF(B97 = "Verde" , G97 + 'Over View'!$B$7, IF(B97 = "Rosso" , G97 + 'Over View'!$B$8, "Grado Non Inserito") )))))</f>
        <v>45707</v>
      </c>
      <c r="I97" s="66" t="b">
        <v>0</v>
      </c>
      <c r="J97" s="71"/>
      <c r="K97" s="68">
        <v>45755.0</v>
      </c>
      <c r="L97" s="69" t="str">
        <f t="shared" si="1"/>
        <v>off set</v>
      </c>
    </row>
    <row r="98" ht="22.5" customHeight="1">
      <c r="A98" s="59">
        <v>97.0</v>
      </c>
      <c r="B98" s="60" t="s">
        <v>11</v>
      </c>
      <c r="C98" s="61">
        <v>6.0</v>
      </c>
      <c r="D98" s="62"/>
      <c r="E98" s="60" t="s">
        <v>32</v>
      </c>
      <c r="F98" s="60" t="s">
        <v>14</v>
      </c>
      <c r="G98" s="70">
        <v>45686.0</v>
      </c>
      <c r="H98" s="65">
        <f>IF(B98 = "Smile", G98 + 'Over View'!$B$3, IF(B98 = "Bianco" , G98 + 'Over View'!$B$4, IF(B98 = "Giallo" , G98 + 'Over View'!$B$5, IF(B98 = "Blu" , G98 + 'Over View'!$B$6, IF(B98 = "Verde" , G98 + 'Over View'!$B$7, IF(B98 = "Rosso" , G98 + 'Over View'!$B$8, "Grado Non Inserito") )))))</f>
        <v>45707</v>
      </c>
      <c r="I98" s="66" t="b">
        <v>0</v>
      </c>
      <c r="J98" s="71"/>
      <c r="K98" s="72"/>
      <c r="L98" s="69" t="str">
        <f t="shared" si="1"/>
        <v>off set</v>
      </c>
    </row>
    <row r="99" ht="22.5" customHeight="1">
      <c r="A99" s="59">
        <v>98.0</v>
      </c>
      <c r="B99" s="60" t="s">
        <v>18</v>
      </c>
      <c r="C99" s="61">
        <v>3.0</v>
      </c>
      <c r="D99" s="62"/>
      <c r="E99" s="60" t="s">
        <v>32</v>
      </c>
      <c r="F99" s="60" t="s">
        <v>40</v>
      </c>
      <c r="G99" s="70">
        <v>45686.0</v>
      </c>
      <c r="H99" s="65">
        <f>IF(B99 = "Smile", G99 + 'Over View'!$B$3, IF(B99 = "Bianco" , G99 + 'Over View'!$B$4, IF(B99 = "Giallo" , G99 + 'Over View'!$B$5, IF(B99 = "Blu" , G99 + 'Over View'!$B$6, IF(B99 = "Verde" , G99 + 'Over View'!$B$7, IF(B99 = "Rosso" , G99 + 'Over View'!$B$8, "Grado Non Inserito") )))))</f>
        <v>45716</v>
      </c>
      <c r="I99" s="66" t="b">
        <v>0</v>
      </c>
      <c r="J99" s="71"/>
      <c r="K99" s="72"/>
      <c r="L99" s="69" t="str">
        <f t="shared" si="1"/>
        <v>off set</v>
      </c>
    </row>
    <row r="100" ht="22.5" customHeight="1">
      <c r="A100" s="59">
        <v>99.0</v>
      </c>
      <c r="B100" s="60" t="s">
        <v>21</v>
      </c>
      <c r="C100" s="61">
        <v>8.0</v>
      </c>
      <c r="D100" s="62"/>
      <c r="E100" s="60" t="s">
        <v>32</v>
      </c>
      <c r="F100" s="60" t="s">
        <v>40</v>
      </c>
      <c r="G100" s="70">
        <v>45686.0</v>
      </c>
      <c r="H100" s="65">
        <f>IF(B100 = "Smile", G100 + 'Over View'!$B$3, IF(B100 = "Bianco" , G100 + 'Over View'!$B$4, IF(B100 = "Giallo" , G100 + 'Over View'!$B$5, IF(B100 = "Blu" , G100 + 'Over View'!$B$6, IF(B100 = "Verde" , G100 + 'Over View'!$B$7, IF(B100 = "Rosso" , G100 + 'Over View'!$B$8, "Grado Non Inserito") )))))</f>
        <v>45700</v>
      </c>
      <c r="I100" s="66" t="b">
        <v>0</v>
      </c>
      <c r="J100" s="71"/>
      <c r="K100" s="72"/>
      <c r="L100" s="69" t="str">
        <f t="shared" si="1"/>
        <v>off set</v>
      </c>
    </row>
    <row r="101" ht="22.5" customHeight="1">
      <c r="A101" s="59">
        <v>100.0</v>
      </c>
      <c r="B101" s="60" t="s">
        <v>21</v>
      </c>
      <c r="C101" s="61">
        <v>2.0</v>
      </c>
      <c r="D101" s="62"/>
      <c r="E101" s="60" t="s">
        <v>28</v>
      </c>
      <c r="F101" s="60" t="s">
        <v>37</v>
      </c>
      <c r="G101" s="70">
        <v>45687.0</v>
      </c>
      <c r="H101" s="65">
        <f>IF(B101 = "Smile", G101 + 'Over View'!$B$3, IF(B101 = "Bianco" , G101 + 'Over View'!$B$4, IF(B101 = "Giallo" , G101 + 'Over View'!$B$5, IF(B101 = "Blu" , G101 + 'Over View'!$B$6, IF(B101 = "Verde" , G101 + 'Over View'!$B$7, IF(B101 = "Rosso" , G101 + 'Over View'!$B$8, "Grado Non Inserito") )))))</f>
        <v>45701</v>
      </c>
      <c r="I101" s="66" t="b">
        <v>0</v>
      </c>
      <c r="J101" s="71"/>
      <c r="K101" s="68">
        <v>45699.0</v>
      </c>
      <c r="L101" s="69" t="str">
        <f t="shared" si="1"/>
        <v>off set</v>
      </c>
    </row>
    <row r="102" ht="22.5" customHeight="1">
      <c r="A102" s="59">
        <v>101.0</v>
      </c>
      <c r="B102" s="60" t="s">
        <v>21</v>
      </c>
      <c r="C102" s="61">
        <v>7.0</v>
      </c>
      <c r="D102" s="62"/>
      <c r="E102" s="60" t="s">
        <v>33</v>
      </c>
      <c r="F102" s="60" t="s">
        <v>24</v>
      </c>
      <c r="G102" s="70">
        <v>45688.0</v>
      </c>
      <c r="H102" s="65">
        <f>IF(B102 = "Smile", G102 + 'Over View'!$B$3, IF(B102 = "Bianco" , G102 + 'Over View'!$B$4, IF(B102 = "Giallo" , G102 + 'Over View'!$B$5, IF(B102 = "Blu" , G102 + 'Over View'!$B$6, IF(B102 = "Verde" , G102 + 'Over View'!$B$7, IF(B102 = "Rosso" , G102 + 'Over View'!$B$8, "Grado Non Inserito") )))))</f>
        <v>45702</v>
      </c>
      <c r="I102" s="66" t="b">
        <v>0</v>
      </c>
      <c r="J102" s="73" t="s">
        <v>41</v>
      </c>
      <c r="K102" s="72"/>
      <c r="L102" s="69" t="str">
        <f t="shared" si="1"/>
        <v>off set</v>
      </c>
    </row>
    <row r="103" ht="22.5" customHeight="1">
      <c r="A103" s="59">
        <v>102.0</v>
      </c>
      <c r="B103" s="60" t="s">
        <v>21</v>
      </c>
      <c r="C103" s="61">
        <v>16.0</v>
      </c>
      <c r="D103" s="62"/>
      <c r="E103" s="60" t="s">
        <v>32</v>
      </c>
      <c r="F103" s="60" t="s">
        <v>24</v>
      </c>
      <c r="G103" s="70">
        <v>45688.0</v>
      </c>
      <c r="H103" s="65">
        <f>IF(B103 = "Smile", G103 + 'Over View'!$B$3, IF(B103 = "Bianco" , G103 + 'Over View'!$B$4, IF(B103 = "Giallo" , G103 + 'Over View'!$B$5, IF(B103 = "Blu" , G103 + 'Over View'!$B$6, IF(B103 = "Verde" , G103 + 'Over View'!$B$7, IF(B103 = "Rosso" , G103 + 'Over View'!$B$8, "Grado Non Inserito") )))))</f>
        <v>45702</v>
      </c>
      <c r="I103" s="66" t="b">
        <v>0</v>
      </c>
      <c r="J103" s="73" t="s">
        <v>41</v>
      </c>
      <c r="K103" s="72"/>
      <c r="L103" s="69" t="str">
        <f t="shared" si="1"/>
        <v>off set</v>
      </c>
    </row>
    <row r="104" ht="22.5" customHeight="1">
      <c r="A104" s="59">
        <v>103.0</v>
      </c>
      <c r="B104" s="60" t="s">
        <v>18</v>
      </c>
      <c r="C104" s="61">
        <v>5.0</v>
      </c>
      <c r="D104" s="62"/>
      <c r="E104" s="60" t="s">
        <v>30</v>
      </c>
      <c r="F104" s="60" t="s">
        <v>24</v>
      </c>
      <c r="G104" s="70">
        <v>45688.0</v>
      </c>
      <c r="H104" s="65">
        <f>IF(B104 = "Smile", G104 + 'Over View'!$B$3, IF(B104 = "Bianco" , G104 + 'Over View'!$B$4, IF(B104 = "Giallo" , G104 + 'Over View'!$B$5, IF(B104 = "Blu" , G104 + 'Over View'!$B$6, IF(B104 = "Verde" , G104 + 'Over View'!$B$7, IF(B104 = "Rosso" , G104 + 'Over View'!$B$8, "Grado Non Inserito") )))))</f>
        <v>45718</v>
      </c>
      <c r="I104" s="66" t="b">
        <v>0</v>
      </c>
      <c r="J104" s="73" t="s">
        <v>41</v>
      </c>
      <c r="K104" s="68">
        <v>45755.0</v>
      </c>
      <c r="L104" s="69" t="str">
        <f t="shared" si="1"/>
        <v>off set</v>
      </c>
    </row>
    <row r="105" ht="22.5" customHeight="1">
      <c r="A105" s="59">
        <v>104.0</v>
      </c>
      <c r="B105" s="60" t="s">
        <v>21</v>
      </c>
      <c r="C105" s="61">
        <v>17.0</v>
      </c>
      <c r="D105" s="62"/>
      <c r="E105" s="60" t="s">
        <v>30</v>
      </c>
      <c r="F105" s="60" t="s">
        <v>14</v>
      </c>
      <c r="G105" s="70">
        <v>45688.0</v>
      </c>
      <c r="H105" s="65">
        <f>IF(B105 = "Smile", G105 + 'Over View'!$B$3, IF(B105 = "Bianco" , G105 + 'Over View'!$B$4, IF(B105 = "Giallo" , G105 + 'Over View'!$B$5, IF(B105 = "Blu" , G105 + 'Over View'!$B$6, IF(B105 = "Verde" , G105 + 'Over View'!$B$7, IF(B105 = "Rosso" , G105 + 'Over View'!$B$8, "Grado Non Inserito") )))))</f>
        <v>45702</v>
      </c>
      <c r="I105" s="66" t="b">
        <v>0</v>
      </c>
      <c r="J105" s="71"/>
      <c r="K105" s="72"/>
      <c r="L105" s="69" t="str">
        <f t="shared" si="1"/>
        <v>off set</v>
      </c>
    </row>
    <row r="106" ht="22.5" customHeight="1">
      <c r="A106" s="59">
        <v>105.0</v>
      </c>
      <c r="B106" s="60" t="s">
        <v>18</v>
      </c>
      <c r="C106" s="61">
        <v>4.0</v>
      </c>
      <c r="D106" s="62"/>
      <c r="E106" s="60" t="s">
        <v>28</v>
      </c>
      <c r="F106" s="60" t="s">
        <v>14</v>
      </c>
      <c r="G106" s="70">
        <v>45688.0</v>
      </c>
      <c r="H106" s="65">
        <f>IF(B106 = "Smile", G106 + 'Over View'!$B$3, IF(B106 = "Bianco" , G106 + 'Over View'!$B$4, IF(B106 = "Giallo" , G106 + 'Over View'!$B$5, IF(B106 = "Blu" , G106 + 'Over View'!$B$6, IF(B106 = "Verde" , G106 + 'Over View'!$B$7, IF(B106 = "Rosso" , G106 + 'Over View'!$B$8, "Grado Non Inserito") )))))</f>
        <v>45718</v>
      </c>
      <c r="I106" s="66" t="b">
        <v>0</v>
      </c>
      <c r="J106" s="71"/>
      <c r="K106" s="72"/>
      <c r="L106" s="69" t="str">
        <f t="shared" si="1"/>
        <v>off set</v>
      </c>
    </row>
    <row r="107" ht="22.5" customHeight="1">
      <c r="A107" s="59">
        <v>106.0</v>
      </c>
      <c r="B107" s="60" t="s">
        <v>21</v>
      </c>
      <c r="C107" s="61">
        <v>9.0</v>
      </c>
      <c r="D107" s="62"/>
      <c r="E107" s="60" t="s">
        <v>26</v>
      </c>
      <c r="F107" s="60" t="s">
        <v>24</v>
      </c>
      <c r="G107" s="70">
        <v>45688.0</v>
      </c>
      <c r="H107" s="65">
        <f>IF(B107 = "Smile", G107 + 'Over View'!$B$3, IF(B107 = "Bianco" , G107 + 'Over View'!$B$4, IF(B107 = "Giallo" , G107 + 'Over View'!$B$5, IF(B107 = "Blu" , G107 + 'Over View'!$B$6, IF(B107 = "Verde" , G107 + 'Over View'!$B$7, IF(B107 = "Rosso" , G107 + 'Over View'!$B$8, "Grado Non Inserito") )))))</f>
        <v>45702</v>
      </c>
      <c r="I107" s="66" t="b">
        <v>0</v>
      </c>
      <c r="J107" s="73" t="s">
        <v>41</v>
      </c>
      <c r="K107" s="72"/>
      <c r="L107" s="69" t="str">
        <f t="shared" si="1"/>
        <v>off set</v>
      </c>
    </row>
    <row r="108" ht="22.5" customHeight="1">
      <c r="A108" s="59">
        <v>107.0</v>
      </c>
      <c r="B108" s="60" t="s">
        <v>12</v>
      </c>
      <c r="C108" s="61">
        <v>17.0</v>
      </c>
      <c r="D108" s="62"/>
      <c r="E108" s="60" t="s">
        <v>30</v>
      </c>
      <c r="F108" s="60" t="s">
        <v>40</v>
      </c>
      <c r="G108" s="70">
        <v>45688.0</v>
      </c>
      <c r="H108" s="65">
        <f>IF(B108 = "Smile", G108 + 'Over View'!$B$3, IF(B108 = "Bianco" , G108 + 'Over View'!$B$4, IF(B108 = "Giallo" , G108 + 'Over View'!$B$5, IF(B108 = "Blu" , G108 + 'Over View'!$B$6, IF(B108 = "Verde" , G108 + 'Over View'!$B$7, IF(B108 = "Rosso" , G108 + 'Over View'!$B$8, "Grado Non Inserito") )))))</f>
        <v>45718</v>
      </c>
      <c r="I108" s="66" t="b">
        <v>0</v>
      </c>
      <c r="J108" s="71"/>
      <c r="K108" s="72"/>
      <c r="L108" s="69" t="str">
        <f t="shared" si="1"/>
        <v>off set</v>
      </c>
    </row>
    <row r="109" ht="22.5" customHeight="1">
      <c r="A109" s="59">
        <v>108.0</v>
      </c>
      <c r="B109" s="60" t="s">
        <v>21</v>
      </c>
      <c r="C109" s="61">
        <v>0.0</v>
      </c>
      <c r="D109" s="62"/>
      <c r="E109" s="60" t="s">
        <v>20</v>
      </c>
      <c r="F109" s="60" t="s">
        <v>40</v>
      </c>
      <c r="G109" s="70">
        <v>45688.0</v>
      </c>
      <c r="H109" s="65">
        <f>IF(B109 = "Smile", G109 + 'Over View'!$B$3, IF(B109 = "Bianco" , G109 + 'Over View'!$B$4, IF(B109 = "Giallo" , G109 + 'Over View'!$B$5, IF(B109 = "Blu" , G109 + 'Over View'!$B$6, IF(B109 = "Verde" , G109 + 'Over View'!$B$7, IF(B109 = "Rosso" , G109 + 'Over View'!$B$8, "Grado Non Inserito") )))))</f>
        <v>45702</v>
      </c>
      <c r="I109" s="66" t="b">
        <v>0</v>
      </c>
      <c r="J109" s="71"/>
      <c r="K109" s="72"/>
      <c r="L109" s="69" t="str">
        <f t="shared" si="1"/>
        <v>off set</v>
      </c>
    </row>
    <row r="110" ht="22.5" customHeight="1">
      <c r="A110" s="59">
        <v>109.0</v>
      </c>
      <c r="B110" s="60" t="s">
        <v>12</v>
      </c>
      <c r="C110" s="61">
        <v>15.0</v>
      </c>
      <c r="D110" s="62"/>
      <c r="E110" s="60" t="s">
        <v>35</v>
      </c>
      <c r="F110" s="60" t="s">
        <v>40</v>
      </c>
      <c r="G110" s="70">
        <v>45692.0</v>
      </c>
      <c r="H110" s="65">
        <f>IF(B110 = "Smile", G110 + 'Over View'!$B$3, IF(B110 = "Bianco" , G110 + 'Over View'!$B$4, IF(B110 = "Giallo" , G110 + 'Over View'!$B$5, IF(B110 = "Blu" , G110 + 'Over View'!$B$6, IF(B110 = "Verde" , G110 + 'Over View'!$B$7, IF(B110 = "Rosso" , G110 + 'Over View'!$B$8, "Grado Non Inserito") )))))</f>
        <v>45722</v>
      </c>
      <c r="I110" s="66" t="b">
        <v>0</v>
      </c>
      <c r="J110" s="73" t="s">
        <v>15</v>
      </c>
      <c r="K110" s="72"/>
      <c r="L110" s="69" t="str">
        <f t="shared" si="1"/>
        <v>off set</v>
      </c>
    </row>
    <row r="111" ht="22.5" customHeight="1">
      <c r="A111" s="59">
        <v>110.0</v>
      </c>
      <c r="B111" s="60" t="s">
        <v>18</v>
      </c>
      <c r="C111" s="61">
        <v>7.0</v>
      </c>
      <c r="D111" s="62"/>
      <c r="E111" s="60" t="s">
        <v>38</v>
      </c>
      <c r="F111" s="60" t="s">
        <v>40</v>
      </c>
      <c r="G111" s="70">
        <v>45692.0</v>
      </c>
      <c r="H111" s="65">
        <f>IF(B111 = "Smile", G111 + 'Over View'!$B$3, IF(B111 = "Bianco" , G111 + 'Over View'!$B$4, IF(B111 = "Giallo" , G111 + 'Over View'!$B$5, IF(B111 = "Blu" , G111 + 'Over View'!$B$6, IF(B111 = "Verde" , G111 + 'Over View'!$B$7, IF(B111 = "Rosso" , G111 + 'Over View'!$B$8, "Grado Non Inserito") )))))</f>
        <v>45722</v>
      </c>
      <c r="I111" s="66" t="b">
        <v>0</v>
      </c>
      <c r="J111" s="73" t="s">
        <v>15</v>
      </c>
      <c r="K111" s="72"/>
      <c r="L111" s="69" t="str">
        <f t="shared" si="1"/>
        <v>off set</v>
      </c>
    </row>
    <row r="112" ht="22.5" customHeight="1">
      <c r="A112" s="59">
        <v>111.0</v>
      </c>
      <c r="B112" s="60" t="s">
        <v>11</v>
      </c>
      <c r="C112" s="61">
        <v>9.0</v>
      </c>
      <c r="D112" s="62"/>
      <c r="E112" s="60" t="s">
        <v>38</v>
      </c>
      <c r="F112" s="60" t="s">
        <v>40</v>
      </c>
      <c r="G112" s="70">
        <v>45692.0</v>
      </c>
      <c r="H112" s="65">
        <f>IF(B112 = "Smile", G112 + 'Over View'!$B$3, IF(B112 = "Bianco" , G112 + 'Over View'!$B$4, IF(B112 = "Giallo" , G112 + 'Over View'!$B$5, IF(B112 = "Blu" , G112 + 'Over View'!$B$6, IF(B112 = "Verde" , G112 + 'Over View'!$B$7, IF(B112 = "Rosso" , G112 + 'Over View'!$B$8, "Grado Non Inserito") )))))</f>
        <v>45713</v>
      </c>
      <c r="I112" s="66" t="b">
        <v>0</v>
      </c>
      <c r="J112" s="73" t="s">
        <v>41</v>
      </c>
      <c r="K112" s="72"/>
      <c r="L112" s="69" t="str">
        <f t="shared" si="1"/>
        <v>off set</v>
      </c>
    </row>
    <row r="113" ht="22.5" customHeight="1">
      <c r="A113" s="59">
        <v>112.0</v>
      </c>
      <c r="B113" s="60" t="s">
        <v>21</v>
      </c>
      <c r="C113" s="61">
        <v>14.0</v>
      </c>
      <c r="D113" s="62"/>
      <c r="E113" s="60" t="s">
        <v>13</v>
      </c>
      <c r="F113" s="60" t="s">
        <v>40</v>
      </c>
      <c r="G113" s="70">
        <v>45699.0</v>
      </c>
      <c r="H113" s="65">
        <f>IF(B113 = "Smile", G113 + 'Over View'!$B$3, IF(B113 = "Bianco" , G113 + 'Over View'!$B$4, IF(B113 = "Giallo" , G113 + 'Over View'!$B$5, IF(B113 = "Blu" , G113 + 'Over View'!$B$6, IF(B113 = "Verde" , G113 + 'Over View'!$B$7, IF(B113 = "Rosso" , G113 + 'Over View'!$B$8, "Grado Non Inserito") )))))</f>
        <v>45713</v>
      </c>
      <c r="I113" s="66" t="b">
        <v>0</v>
      </c>
      <c r="J113" s="71"/>
      <c r="K113" s="72"/>
      <c r="L113" s="69" t="str">
        <f t="shared" si="1"/>
        <v>off set</v>
      </c>
    </row>
    <row r="114" ht="22.5" customHeight="1">
      <c r="A114" s="59">
        <v>113.0</v>
      </c>
      <c r="B114" s="60" t="s">
        <v>12</v>
      </c>
      <c r="C114" s="61">
        <v>6.0</v>
      </c>
      <c r="D114" s="62"/>
      <c r="E114" s="60" t="s">
        <v>20</v>
      </c>
      <c r="F114" s="60" t="s">
        <v>40</v>
      </c>
      <c r="G114" s="70">
        <v>45699.0</v>
      </c>
      <c r="H114" s="65">
        <f>IF(B114 = "Smile", G114 + 'Over View'!$B$3, IF(B114 = "Bianco" , G114 + 'Over View'!$B$4, IF(B114 = "Giallo" , G114 + 'Over View'!$B$5, IF(B114 = "Blu" , G114 + 'Over View'!$B$6, IF(B114 = "Verde" , G114 + 'Over View'!$B$7, IF(B114 = "Rosso" , G114 + 'Over View'!$B$8, "Grado Non Inserito") )))))</f>
        <v>45729</v>
      </c>
      <c r="I114" s="66" t="b">
        <v>0</v>
      </c>
      <c r="J114" s="71"/>
      <c r="K114" s="72"/>
      <c r="L114" s="69" t="str">
        <f t="shared" si="1"/>
        <v>off set</v>
      </c>
    </row>
    <row r="115" ht="22.5" customHeight="1">
      <c r="A115" s="59">
        <v>114.0</v>
      </c>
      <c r="B115" s="60" t="s">
        <v>21</v>
      </c>
      <c r="C115" s="61">
        <v>2.0</v>
      </c>
      <c r="D115" s="62"/>
      <c r="E115" s="60" t="s">
        <v>28</v>
      </c>
      <c r="F115" s="60" t="s">
        <v>40</v>
      </c>
      <c r="G115" s="70">
        <v>45699.0</v>
      </c>
      <c r="H115" s="65">
        <f>IF(B115 = "Smile", G115 + 'Over View'!$B$3, IF(B115 = "Bianco" , G115 + 'Over View'!$B$4, IF(B115 = "Giallo" , G115 + 'Over View'!$B$5, IF(B115 = "Blu" , G115 + 'Over View'!$B$6, IF(B115 = "Verde" , G115 + 'Over View'!$B$7, IF(B115 = "Rosso" , G115 + 'Over View'!$B$8, "Grado Non Inserito") )))))</f>
        <v>45713</v>
      </c>
      <c r="I115" s="66" t="b">
        <v>0</v>
      </c>
      <c r="J115" s="71"/>
      <c r="K115" s="72"/>
      <c r="L115" s="69" t="str">
        <f t="shared" si="1"/>
        <v>off set</v>
      </c>
    </row>
    <row r="116" ht="22.5" customHeight="1">
      <c r="A116" s="59">
        <v>115.0</v>
      </c>
      <c r="B116" s="60" t="s">
        <v>12</v>
      </c>
      <c r="C116" s="61">
        <v>7.0</v>
      </c>
      <c r="D116" s="62"/>
      <c r="E116" s="60" t="s">
        <v>28</v>
      </c>
      <c r="F116" s="60" t="s">
        <v>40</v>
      </c>
      <c r="G116" s="70">
        <v>45706.0</v>
      </c>
      <c r="H116" s="65">
        <f>IF(B116 = "Smile", G116 + 'Over View'!$B$3, IF(B116 = "Bianco" , G116 + 'Over View'!$B$4, IF(B116 = "Giallo" , G116 + 'Over View'!$B$5, IF(B116 = "Blu" , G116 + 'Over View'!$B$6, IF(B116 = "Verde" , G116 + 'Over View'!$B$7, IF(B116 = "Rosso" , G116 + 'Over View'!$B$8, "Grado Non Inserito") )))))</f>
        <v>45736</v>
      </c>
      <c r="I116" s="66" t="b">
        <v>0</v>
      </c>
      <c r="J116" s="71"/>
      <c r="K116" s="72"/>
      <c r="L116" s="69" t="str">
        <f t="shared" si="1"/>
        <v>off set</v>
      </c>
    </row>
    <row r="117" ht="22.5" customHeight="1">
      <c r="A117" s="59">
        <v>116.0</v>
      </c>
      <c r="B117" s="60" t="s">
        <v>21</v>
      </c>
      <c r="C117" s="61">
        <v>12.0</v>
      </c>
      <c r="D117" s="62"/>
      <c r="E117" s="60" t="s">
        <v>28</v>
      </c>
      <c r="F117" s="60" t="s">
        <v>40</v>
      </c>
      <c r="G117" s="70">
        <v>45706.0</v>
      </c>
      <c r="H117" s="65">
        <f>IF(B117 = "Smile", G117 + 'Over View'!$B$3, IF(B117 = "Bianco" , G117 + 'Over View'!$B$4, IF(B117 = "Giallo" , G117 + 'Over View'!$B$5, IF(B117 = "Blu" , G117 + 'Over View'!$B$6, IF(B117 = "Verde" , G117 + 'Over View'!$B$7, IF(B117 = "Rosso" , G117 + 'Over View'!$B$8, "Grado Non Inserito") )))))</f>
        <v>45720</v>
      </c>
      <c r="I117" s="66" t="b">
        <v>0</v>
      </c>
      <c r="J117" s="71"/>
      <c r="K117" s="72"/>
      <c r="L117" s="69" t="str">
        <f t="shared" si="1"/>
        <v>off set</v>
      </c>
    </row>
    <row r="118" ht="22.5" customHeight="1">
      <c r="A118" s="59">
        <v>117.0</v>
      </c>
      <c r="B118" s="60" t="s">
        <v>16</v>
      </c>
      <c r="C118" s="61">
        <v>6.0</v>
      </c>
      <c r="D118" s="62"/>
      <c r="E118" s="60" t="s">
        <v>20</v>
      </c>
      <c r="F118" s="60" t="s">
        <v>40</v>
      </c>
      <c r="G118" s="70">
        <v>45706.0</v>
      </c>
      <c r="H118" s="65">
        <f>IF(B118 = "Smile", G118 + 'Over View'!$B$3, IF(B118 = "Bianco" , G118 + 'Over View'!$B$4, IF(B118 = "Giallo" , G118 + 'Over View'!$B$5, IF(B118 = "Blu" , G118 + 'Over View'!$B$6, IF(B118 = "Verde" , G118 + 'Over View'!$B$7, IF(B118 = "Rosso" , G118 + 'Over View'!$B$8, "Grado Non Inserito") )))))</f>
        <v>45720</v>
      </c>
      <c r="I118" s="66" t="b">
        <v>0</v>
      </c>
      <c r="J118" s="71"/>
      <c r="K118" s="72"/>
      <c r="L118" s="69" t="str">
        <f t="shared" si="1"/>
        <v>off set</v>
      </c>
    </row>
    <row r="119" ht="22.5" customHeight="1">
      <c r="A119" s="59">
        <v>118.0</v>
      </c>
      <c r="B119" s="60" t="s">
        <v>21</v>
      </c>
      <c r="C119" s="61">
        <v>20.0</v>
      </c>
      <c r="D119" s="62"/>
      <c r="E119" s="60" t="s">
        <v>13</v>
      </c>
      <c r="F119" s="60" t="s">
        <v>24</v>
      </c>
      <c r="G119" s="70">
        <v>45706.0</v>
      </c>
      <c r="H119" s="65">
        <f>IF(B119 = "Smile", G119 + 'Over View'!$B$3, IF(B119 = "Bianco" , G119 + 'Over View'!$B$4, IF(B119 = "Giallo" , G119 + 'Over View'!$B$5, IF(B119 = "Blu" , G119 + 'Over View'!$B$6, IF(B119 = "Verde" , G119 + 'Over View'!$B$7, IF(B119 = "Rosso" , G119 + 'Over View'!$B$8, "Grado Non Inserito") )))))</f>
        <v>45720</v>
      </c>
      <c r="I119" s="66" t="b">
        <v>0</v>
      </c>
      <c r="J119" s="73" t="s">
        <v>15</v>
      </c>
      <c r="K119" s="72"/>
      <c r="L119" s="69" t="str">
        <f t="shared" si="1"/>
        <v>off set</v>
      </c>
    </row>
    <row r="120" ht="22.5" customHeight="1">
      <c r="A120" s="59">
        <v>119.0</v>
      </c>
      <c r="B120" s="60" t="s">
        <v>16</v>
      </c>
      <c r="C120" s="61">
        <v>15.0</v>
      </c>
      <c r="D120" s="62"/>
      <c r="E120" s="60" t="s">
        <v>13</v>
      </c>
      <c r="F120" s="60" t="s">
        <v>24</v>
      </c>
      <c r="G120" s="70">
        <v>45706.0</v>
      </c>
      <c r="H120" s="65">
        <f>IF(B120 = "Smile", G120 + 'Over View'!$B$3, IF(B120 = "Bianco" , G120 + 'Over View'!$B$4, IF(B120 = "Giallo" , G120 + 'Over View'!$B$5, IF(B120 = "Blu" , G120 + 'Over View'!$B$6, IF(B120 = "Verde" , G120 + 'Over View'!$B$7, IF(B120 = "Rosso" , G120 + 'Over View'!$B$8, "Grado Non Inserito") )))))</f>
        <v>45720</v>
      </c>
      <c r="I120" s="66" t="b">
        <v>0</v>
      </c>
      <c r="J120" s="73" t="s">
        <v>15</v>
      </c>
      <c r="K120" s="72"/>
      <c r="L120" s="69" t="str">
        <f t="shared" si="1"/>
        <v>off set</v>
      </c>
    </row>
    <row r="121" ht="22.5" customHeight="1">
      <c r="A121" s="59">
        <v>120.0</v>
      </c>
      <c r="B121" s="60" t="s">
        <v>18</v>
      </c>
      <c r="C121" s="61">
        <v>20.0</v>
      </c>
      <c r="D121" s="62"/>
      <c r="E121" s="60" t="s">
        <v>33</v>
      </c>
      <c r="F121" s="60" t="s">
        <v>24</v>
      </c>
      <c r="G121" s="70">
        <v>45706.0</v>
      </c>
      <c r="H121" s="65">
        <f>IF(B121 = "Smile", G121 + 'Over View'!$B$3, IF(B121 = "Bianco" , G121 + 'Over View'!$B$4, IF(B121 = "Giallo" , G121 + 'Over View'!$B$5, IF(B121 = "Blu" , G121 + 'Over View'!$B$6, IF(B121 = "Verde" , G121 + 'Over View'!$B$7, IF(B121 = "Rosso" , G121 + 'Over View'!$B$8, "Grado Non Inserito") )))))</f>
        <v>45736</v>
      </c>
      <c r="I121" s="66" t="b">
        <v>0</v>
      </c>
      <c r="J121" s="73" t="s">
        <v>41</v>
      </c>
      <c r="K121" s="72"/>
      <c r="L121" s="69" t="str">
        <f t="shared" si="1"/>
        <v>off set</v>
      </c>
    </row>
    <row r="122" ht="22.5" customHeight="1">
      <c r="A122" s="59">
        <v>121.0</v>
      </c>
      <c r="B122" s="60" t="s">
        <v>16</v>
      </c>
      <c r="C122" s="61">
        <v>1.0</v>
      </c>
      <c r="D122" s="62"/>
      <c r="E122" s="60" t="s">
        <v>13</v>
      </c>
      <c r="F122" s="60" t="s">
        <v>14</v>
      </c>
      <c r="G122" s="70">
        <v>45713.0</v>
      </c>
      <c r="H122" s="65">
        <f>IF(B122 = "Smile", G122 + 'Over View'!$B$3, IF(B122 = "Bianco" , G122 + 'Over View'!$B$4, IF(B122 = "Giallo" , G122 + 'Over View'!$B$5, IF(B122 = "Blu" , G122 + 'Over View'!$B$6, IF(B122 = "Verde" , G122 + 'Over View'!$B$7, IF(B122 = "Rosso" , G122 + 'Over View'!$B$8, "Grado Non Inserito") )))))</f>
        <v>45727</v>
      </c>
      <c r="I122" s="66" t="b">
        <v>0</v>
      </c>
      <c r="J122" s="71"/>
      <c r="K122" s="72"/>
      <c r="L122" s="69" t="str">
        <f t="shared" si="1"/>
        <v>off set</v>
      </c>
    </row>
    <row r="123" ht="22.5" customHeight="1">
      <c r="A123" s="59">
        <v>122.0</v>
      </c>
      <c r="B123" s="60" t="s">
        <v>18</v>
      </c>
      <c r="C123" s="61">
        <v>19.0</v>
      </c>
      <c r="D123" s="62"/>
      <c r="E123" s="60" t="s">
        <v>26</v>
      </c>
      <c r="F123" s="60" t="s">
        <v>40</v>
      </c>
      <c r="G123" s="70">
        <v>45716.0</v>
      </c>
      <c r="H123" s="65">
        <f>IF(B123 = "Smile", G123 + 'Over View'!$B$3, IF(B123 = "Bianco" , G123 + 'Over View'!$B$4, IF(B123 = "Giallo" , G123 + 'Over View'!$B$5, IF(B123 = "Blu" , G123 + 'Over View'!$B$6, IF(B123 = "Verde" , G123 + 'Over View'!$B$7, IF(B123 = "Rosso" , G123 + 'Over View'!$B$8, "Grado Non Inserito") )))))</f>
        <v>45746</v>
      </c>
      <c r="I123" s="66" t="b">
        <v>0</v>
      </c>
      <c r="J123" s="73" t="s">
        <v>41</v>
      </c>
      <c r="K123" s="72"/>
      <c r="L123" s="69" t="str">
        <f t="shared" si="1"/>
        <v>off set</v>
      </c>
    </row>
    <row r="124" ht="22.5" customHeight="1">
      <c r="A124" s="59">
        <v>123.0</v>
      </c>
      <c r="B124" s="60" t="s">
        <v>11</v>
      </c>
      <c r="C124" s="61">
        <v>15.0</v>
      </c>
      <c r="D124" s="62"/>
      <c r="E124" s="60" t="s">
        <v>26</v>
      </c>
      <c r="F124" s="60" t="s">
        <v>40</v>
      </c>
      <c r="G124" s="70">
        <v>45716.0</v>
      </c>
      <c r="H124" s="65">
        <f>IF(B124 = "Smile", G124 + 'Over View'!$B$3, IF(B124 = "Bianco" , G124 + 'Over View'!$B$4, IF(B124 = "Giallo" , G124 + 'Over View'!$B$5, IF(B124 = "Blu" , G124 + 'Over View'!$B$6, IF(B124 = "Verde" , G124 + 'Over View'!$B$7, IF(B124 = "Rosso" , G124 + 'Over View'!$B$8, "Grado Non Inserito") )))))</f>
        <v>45737</v>
      </c>
      <c r="I124" s="66" t="b">
        <v>0</v>
      </c>
      <c r="J124" s="71"/>
      <c r="K124" s="72"/>
      <c r="L124" s="69" t="str">
        <f t="shared" si="1"/>
        <v>off set</v>
      </c>
    </row>
    <row r="125" ht="22.5" customHeight="1">
      <c r="A125" s="59">
        <v>124.0</v>
      </c>
      <c r="B125" s="60" t="s">
        <v>18</v>
      </c>
      <c r="C125" s="61">
        <v>6.0</v>
      </c>
      <c r="D125" s="62"/>
      <c r="E125" s="60" t="s">
        <v>38</v>
      </c>
      <c r="F125" s="60" t="s">
        <v>24</v>
      </c>
      <c r="G125" s="70">
        <v>45716.0</v>
      </c>
      <c r="H125" s="65">
        <f>IF(B125 = "Smile", G125 + 'Over View'!$B$3, IF(B125 = "Bianco" , G125 + 'Over View'!$B$4, IF(B125 = "Giallo" , G125 + 'Over View'!$B$5, IF(B125 = "Blu" , G125 + 'Over View'!$B$6, IF(B125 = "Verde" , G125 + 'Over View'!$B$7, IF(B125 = "Rosso" , G125 + 'Over View'!$B$8, "Grado Non Inserito") )))))</f>
        <v>45746</v>
      </c>
      <c r="I125" s="66" t="b">
        <v>0</v>
      </c>
      <c r="J125" s="73" t="s">
        <v>41</v>
      </c>
      <c r="K125" s="72"/>
      <c r="L125" s="69" t="str">
        <f t="shared" si="1"/>
        <v>off set</v>
      </c>
    </row>
    <row r="126" ht="22.5" customHeight="1">
      <c r="A126" s="59">
        <v>125.0</v>
      </c>
      <c r="B126" s="60" t="s">
        <v>11</v>
      </c>
      <c r="C126" s="61">
        <v>6.0</v>
      </c>
      <c r="D126" s="62"/>
      <c r="E126" s="60" t="s">
        <v>38</v>
      </c>
      <c r="F126" s="60" t="s">
        <v>24</v>
      </c>
      <c r="G126" s="70">
        <v>45716.0</v>
      </c>
      <c r="H126" s="65">
        <f>IF(B126 = "Smile", G126 + 'Over View'!$B$3, IF(B126 = "Bianco" , G126 + 'Over View'!$B$4, IF(B126 = "Giallo" , G126 + 'Over View'!$B$5, IF(B126 = "Blu" , G126 + 'Over View'!$B$6, IF(B126 = "Verde" , G126 + 'Over View'!$B$7, IF(B126 = "Rosso" , G126 + 'Over View'!$B$8, "Grado Non Inserito") )))))</f>
        <v>45737</v>
      </c>
      <c r="I126" s="66" t="b">
        <v>0</v>
      </c>
      <c r="J126" s="73" t="s">
        <v>41</v>
      </c>
      <c r="K126" s="72"/>
      <c r="L126" s="69" t="str">
        <f t="shared" si="1"/>
        <v>off set</v>
      </c>
    </row>
    <row r="127" ht="22.5" customHeight="1">
      <c r="A127" s="59">
        <v>126.0</v>
      </c>
      <c r="B127" s="60" t="s">
        <v>18</v>
      </c>
      <c r="C127" s="74"/>
      <c r="D127" s="63"/>
      <c r="E127" s="60" t="s">
        <v>13</v>
      </c>
      <c r="F127" s="60" t="s">
        <v>36</v>
      </c>
      <c r="G127" s="70">
        <v>45720.0</v>
      </c>
      <c r="H127" s="65">
        <f>IF(B127 = "Smile", G127 + 'Over View'!$B$3, IF(B127 = "Bianco" , G127 + 'Over View'!$B$4, IF(B127 = "Giallo" , G127 + 'Over View'!$B$5, IF(B127 = "Blu" , G127 + 'Over View'!$B$6, IF(B127 = "Verde" , G127 + 'Over View'!$B$7, IF(B127 = "Rosso" , G127 + 'Over View'!$B$8, "Grado Non Inserito") )))))</f>
        <v>45750</v>
      </c>
      <c r="I127" s="66" t="b">
        <v>0</v>
      </c>
      <c r="J127" s="73" t="s">
        <v>41</v>
      </c>
      <c r="K127" s="72"/>
      <c r="L127" s="69" t="str">
        <f t="shared" si="1"/>
        <v>off set</v>
      </c>
    </row>
    <row r="128" ht="22.5" customHeight="1">
      <c r="A128" s="59">
        <v>127.0</v>
      </c>
      <c r="B128" s="60" t="s">
        <v>21</v>
      </c>
      <c r="C128" s="74"/>
      <c r="D128" s="63"/>
      <c r="E128" s="60" t="s">
        <v>20</v>
      </c>
      <c r="F128" s="60" t="s">
        <v>36</v>
      </c>
      <c r="G128" s="70">
        <v>45720.0</v>
      </c>
      <c r="H128" s="65">
        <f>IF(B128 = "Smile", G128 + 'Over View'!$B$3, IF(B128 = "Bianco" , G128 + 'Over View'!$B$4, IF(B128 = "Giallo" , G128 + 'Over View'!$B$5, IF(B128 = "Blu" , G128 + 'Over View'!$B$6, IF(B128 = "Verde" , G128 + 'Over View'!$B$7, IF(B128 = "Rosso" , G128 + 'Over View'!$B$8, "Grado Non Inserito") )))))</f>
        <v>45734</v>
      </c>
      <c r="I128" s="66" t="b">
        <v>0</v>
      </c>
      <c r="J128" s="73" t="s">
        <v>41</v>
      </c>
      <c r="K128" s="72"/>
      <c r="L128" s="69" t="str">
        <f t="shared" si="1"/>
        <v>off set</v>
      </c>
    </row>
    <row r="129" ht="22.5" customHeight="1">
      <c r="A129" s="59">
        <v>128.0</v>
      </c>
      <c r="B129" s="60" t="s">
        <v>23</v>
      </c>
      <c r="C129" s="74"/>
      <c r="D129" s="63"/>
      <c r="E129" s="60" t="s">
        <v>26</v>
      </c>
      <c r="F129" s="60" t="s">
        <v>36</v>
      </c>
      <c r="G129" s="70">
        <v>45720.0</v>
      </c>
      <c r="H129" s="65">
        <f>IF(B129 = "Smile", G129 + 'Over View'!$B$3, IF(B129 = "Bianco" , G129 + 'Over View'!$B$4, IF(B129 = "Giallo" , G129 + 'Over View'!$B$5, IF(B129 = "Blu" , G129 + 'Over View'!$B$6, IF(B129 = "Verde" , G129 + 'Over View'!$B$7, IF(B129 = "Rosso" , G129 + 'Over View'!$B$8, "Grado Non Inserito") )))))</f>
        <v>45741</v>
      </c>
      <c r="I129" s="66" t="b">
        <v>0</v>
      </c>
      <c r="J129" s="73" t="s">
        <v>41</v>
      </c>
      <c r="K129" s="72"/>
      <c r="L129" s="69" t="str">
        <f t="shared" si="1"/>
        <v>off set</v>
      </c>
    </row>
    <row r="130" ht="22.5" customHeight="1">
      <c r="A130" s="59">
        <v>129.0</v>
      </c>
      <c r="B130" s="60" t="s">
        <v>16</v>
      </c>
      <c r="C130" s="74"/>
      <c r="D130" s="63"/>
      <c r="E130" s="60" t="s">
        <v>28</v>
      </c>
      <c r="F130" s="60" t="s">
        <v>36</v>
      </c>
      <c r="G130" s="70">
        <v>45720.0</v>
      </c>
      <c r="H130" s="65">
        <f>IF(B130 = "Smile", G130 + 'Over View'!$B$3, IF(B130 = "Bianco" , G130 + 'Over View'!$B$4, IF(B130 = "Giallo" , G130 + 'Over View'!$B$5, IF(B130 = "Blu" , G130 + 'Over View'!$B$6, IF(B130 = "Verde" , G130 + 'Over View'!$B$7, IF(B130 = "Rosso" , G130 + 'Over View'!$B$8, "Grado Non Inserito") )))))</f>
        <v>45734</v>
      </c>
      <c r="I130" s="66" t="b">
        <v>0</v>
      </c>
      <c r="J130" s="73" t="s">
        <v>41</v>
      </c>
      <c r="K130" s="72"/>
      <c r="L130" s="69" t="str">
        <f t="shared" si="1"/>
        <v>off set</v>
      </c>
    </row>
    <row r="131" ht="22.5" customHeight="1">
      <c r="A131" s="59">
        <v>130.0</v>
      </c>
      <c r="B131" s="60" t="s">
        <v>12</v>
      </c>
      <c r="C131" s="74"/>
      <c r="D131" s="63"/>
      <c r="E131" s="60" t="s">
        <v>30</v>
      </c>
      <c r="F131" s="60" t="s">
        <v>36</v>
      </c>
      <c r="G131" s="70">
        <v>45720.0</v>
      </c>
      <c r="H131" s="65">
        <f>IF(B131 = "Smile", G131 + 'Over View'!$B$3, IF(B131 = "Bianco" , G131 + 'Over View'!$B$4, IF(B131 = "Giallo" , G131 + 'Over View'!$B$5, IF(B131 = "Blu" , G131 + 'Over View'!$B$6, IF(B131 = "Verde" , G131 + 'Over View'!$B$7, IF(B131 = "Rosso" , G131 + 'Over View'!$B$8, "Grado Non Inserito") )))))</f>
        <v>45750</v>
      </c>
      <c r="I131" s="66" t="b">
        <v>0</v>
      </c>
      <c r="J131" s="73" t="s">
        <v>41</v>
      </c>
      <c r="K131" s="72"/>
      <c r="L131" s="69" t="str">
        <f t="shared" si="1"/>
        <v>off set</v>
      </c>
    </row>
    <row r="132" ht="22.5" customHeight="1">
      <c r="A132" s="59">
        <v>131.0</v>
      </c>
      <c r="B132" s="60" t="s">
        <v>12</v>
      </c>
      <c r="C132" s="74"/>
      <c r="D132" s="63"/>
      <c r="E132" s="60" t="s">
        <v>30</v>
      </c>
      <c r="F132" s="60" t="s">
        <v>36</v>
      </c>
      <c r="G132" s="70">
        <v>45720.0</v>
      </c>
      <c r="H132" s="65">
        <f>IF(B132 = "Smile", G132 + 'Over View'!$B$3, IF(B132 = "Bianco" , G132 + 'Over View'!$B$4, IF(B132 = "Giallo" , G132 + 'Over View'!$B$5, IF(B132 = "Blu" , G132 + 'Over View'!$B$6, IF(B132 = "Verde" , G132 + 'Over View'!$B$7, IF(B132 = "Rosso" , G132 + 'Over View'!$B$8, "Grado Non Inserito") )))))</f>
        <v>45750</v>
      </c>
      <c r="I132" s="66" t="b">
        <v>0</v>
      </c>
      <c r="J132" s="73" t="s">
        <v>41</v>
      </c>
      <c r="K132" s="72"/>
      <c r="L132" s="69" t="str">
        <f t="shared" si="1"/>
        <v>off set</v>
      </c>
    </row>
    <row r="133" ht="22.5" customHeight="1">
      <c r="A133" s="59">
        <v>132.0</v>
      </c>
      <c r="B133" s="60" t="s">
        <v>21</v>
      </c>
      <c r="C133" s="74"/>
      <c r="D133" s="63"/>
      <c r="E133" s="60" t="s">
        <v>30</v>
      </c>
      <c r="F133" s="60" t="s">
        <v>36</v>
      </c>
      <c r="G133" s="70">
        <v>45720.0</v>
      </c>
      <c r="H133" s="65">
        <f>IF(B133 = "Smile", G133 + 'Over View'!$B$3, IF(B133 = "Bianco" , G133 + 'Over View'!$B$4, IF(B133 = "Giallo" , G133 + 'Over View'!$B$5, IF(B133 = "Blu" , G133 + 'Over View'!$B$6, IF(B133 = "Verde" , G133 + 'Over View'!$B$7, IF(B133 = "Rosso" , G133 + 'Over View'!$B$8, "Grado Non Inserito") )))))</f>
        <v>45734</v>
      </c>
      <c r="I133" s="66" t="b">
        <v>0</v>
      </c>
      <c r="J133" s="73" t="s">
        <v>41</v>
      </c>
      <c r="K133" s="72"/>
      <c r="L133" s="69" t="str">
        <f t="shared" si="1"/>
        <v>off set</v>
      </c>
    </row>
    <row r="134" ht="22.5" customHeight="1">
      <c r="A134" s="59">
        <v>133.0</v>
      </c>
      <c r="B134" s="60" t="s">
        <v>21</v>
      </c>
      <c r="C134" s="74"/>
      <c r="D134" s="63"/>
      <c r="E134" s="60" t="s">
        <v>35</v>
      </c>
      <c r="F134" s="60" t="s">
        <v>36</v>
      </c>
      <c r="G134" s="70">
        <v>45720.0</v>
      </c>
      <c r="H134" s="65">
        <f>IF(B134 = "Smile", G134 + 'Over View'!$B$3, IF(B134 = "Bianco" , G134 + 'Over View'!$B$4, IF(B134 = "Giallo" , G134 + 'Over View'!$B$5, IF(B134 = "Blu" , G134 + 'Over View'!$B$6, IF(B134 = "Verde" , G134 + 'Over View'!$B$7, IF(B134 = "Rosso" , G134 + 'Over View'!$B$8, "Grado Non Inserito") )))))</f>
        <v>45734</v>
      </c>
      <c r="I134" s="66" t="b">
        <v>0</v>
      </c>
      <c r="J134" s="73" t="s">
        <v>41</v>
      </c>
      <c r="K134" s="72"/>
      <c r="L134" s="69" t="str">
        <f t="shared" si="1"/>
        <v>off set</v>
      </c>
    </row>
    <row r="135" ht="22.5" customHeight="1">
      <c r="A135" s="59">
        <v>134.0</v>
      </c>
      <c r="B135" s="60" t="s">
        <v>21</v>
      </c>
      <c r="C135" s="61">
        <v>18.0</v>
      </c>
      <c r="D135" s="62"/>
      <c r="E135" s="60" t="s">
        <v>35</v>
      </c>
      <c r="F135" s="60" t="s">
        <v>40</v>
      </c>
      <c r="G135" s="70">
        <v>45726.0</v>
      </c>
      <c r="H135" s="65">
        <f>IF(B135 = "Smile", G135 + 'Over View'!$B$3, IF(B135 = "Bianco" , G135 + 'Over View'!$B$4, IF(B135 = "Giallo" , G135 + 'Over View'!$B$5, IF(B135 = "Blu" , G135 + 'Over View'!$B$6, IF(B135 = "Verde" , G135 + 'Over View'!$B$7, IF(B135 = "Rosso" , G135 + 'Over View'!$B$8, "Grado Non Inserito") )))))</f>
        <v>45740</v>
      </c>
      <c r="I135" s="66" t="b">
        <v>0</v>
      </c>
      <c r="J135" s="73" t="s">
        <v>41</v>
      </c>
      <c r="K135" s="72"/>
      <c r="L135" s="69" t="str">
        <f t="shared" si="1"/>
        <v>off set</v>
      </c>
    </row>
    <row r="136" ht="22.5" customHeight="1">
      <c r="A136" s="59">
        <v>135.0</v>
      </c>
      <c r="B136" s="60" t="s">
        <v>12</v>
      </c>
      <c r="C136" s="61">
        <v>15.0</v>
      </c>
      <c r="D136" s="62"/>
      <c r="E136" s="60" t="s">
        <v>35</v>
      </c>
      <c r="F136" s="60" t="s">
        <v>40</v>
      </c>
      <c r="G136" s="70">
        <v>45726.0</v>
      </c>
      <c r="H136" s="65">
        <f>IF(B136 = "Smile", G136 + 'Over View'!$B$3, IF(B136 = "Bianco" , G136 + 'Over View'!$B$4, IF(B136 = "Giallo" , G136 + 'Over View'!$B$5, IF(B136 = "Blu" , G136 + 'Over View'!$B$6, IF(B136 = "Verde" , G136 + 'Over View'!$B$7, IF(B136 = "Rosso" , G136 + 'Over View'!$B$8, "Grado Non Inserito") )))))</f>
        <v>45756</v>
      </c>
      <c r="I136" s="66" t="b">
        <v>0</v>
      </c>
      <c r="J136" s="73" t="s">
        <v>41</v>
      </c>
      <c r="K136" s="72"/>
      <c r="L136" s="69" t="str">
        <f t="shared" si="1"/>
        <v>off set</v>
      </c>
    </row>
    <row r="137" ht="22.5" customHeight="1">
      <c r="A137" s="59">
        <v>136.0</v>
      </c>
      <c r="B137" s="60" t="s">
        <v>11</v>
      </c>
      <c r="C137" s="61">
        <v>4.0</v>
      </c>
      <c r="D137" s="62"/>
      <c r="E137" s="60" t="s">
        <v>35</v>
      </c>
      <c r="F137" s="60" t="s">
        <v>40</v>
      </c>
      <c r="G137" s="70">
        <v>45726.0</v>
      </c>
      <c r="H137" s="65">
        <f>IF(B137 = "Smile", G137 + 'Over View'!$B$3, IF(B137 = "Bianco" , G137 + 'Over View'!$B$4, IF(B137 = "Giallo" , G137 + 'Over View'!$B$5, IF(B137 = "Blu" , G137 + 'Over View'!$B$6, IF(B137 = "Verde" , G137 + 'Over View'!$B$7, IF(B137 = "Rosso" , G137 + 'Over View'!$B$8, "Grado Non Inserito") )))))</f>
        <v>45747</v>
      </c>
      <c r="I137" s="66" t="b">
        <v>0</v>
      </c>
      <c r="J137" s="73" t="s">
        <v>41</v>
      </c>
      <c r="K137" s="72"/>
      <c r="L137" s="69" t="str">
        <f t="shared" si="1"/>
        <v>off set</v>
      </c>
    </row>
    <row r="138" ht="22.5" customHeight="1">
      <c r="A138" s="59">
        <v>137.0</v>
      </c>
      <c r="B138" s="60" t="s">
        <v>12</v>
      </c>
      <c r="C138" s="74"/>
      <c r="D138" s="63"/>
      <c r="E138" s="60" t="s">
        <v>35</v>
      </c>
      <c r="F138" s="60" t="s">
        <v>36</v>
      </c>
      <c r="G138" s="70">
        <v>45727.0</v>
      </c>
      <c r="H138" s="65">
        <f>IF(B138 = "Smile", G138 + 'Over View'!$B$3, IF(B138 = "Bianco" , G138 + 'Over View'!$B$4, IF(B138 = "Giallo" , G138 + 'Over View'!$B$5, IF(B138 = "Blu" , G138 + 'Over View'!$B$6, IF(B138 = "Verde" , G138 + 'Over View'!$B$7, IF(B138 = "Rosso" , G138 + 'Over View'!$B$8, "Grado Non Inserito") )))))</f>
        <v>45757</v>
      </c>
      <c r="I138" s="66" t="b">
        <v>0</v>
      </c>
      <c r="J138" s="73" t="s">
        <v>41</v>
      </c>
      <c r="K138" s="72"/>
      <c r="L138" s="69" t="str">
        <f t="shared" si="1"/>
        <v>off set</v>
      </c>
    </row>
    <row r="139" ht="22.5" customHeight="1">
      <c r="A139" s="59">
        <v>138.0</v>
      </c>
      <c r="B139" s="60" t="s">
        <v>18</v>
      </c>
      <c r="C139" s="74"/>
      <c r="D139" s="63"/>
      <c r="E139" s="60" t="s">
        <v>28</v>
      </c>
      <c r="F139" s="60" t="s">
        <v>36</v>
      </c>
      <c r="G139" s="70">
        <v>45727.0</v>
      </c>
      <c r="H139" s="65">
        <f>IF(B139 = "Smile", G139 + 'Over View'!$B$3, IF(B139 = "Bianco" , G139 + 'Over View'!$B$4, IF(B139 = "Giallo" , G139 + 'Over View'!$B$5, IF(B139 = "Blu" , G139 + 'Over View'!$B$6, IF(B139 = "Verde" , G139 + 'Over View'!$B$7, IF(B139 = "Rosso" , G139 + 'Over View'!$B$8, "Grado Non Inserito") )))))</f>
        <v>45757</v>
      </c>
      <c r="I139" s="66" t="b">
        <v>0</v>
      </c>
      <c r="J139" s="73" t="s">
        <v>41</v>
      </c>
      <c r="K139" s="72"/>
      <c r="L139" s="69" t="str">
        <f t="shared" si="1"/>
        <v>off set</v>
      </c>
    </row>
    <row r="140" ht="22.5" customHeight="1">
      <c r="A140" s="59">
        <v>139.0</v>
      </c>
      <c r="B140" s="60" t="s">
        <v>16</v>
      </c>
      <c r="C140" s="74"/>
      <c r="D140" s="63"/>
      <c r="E140" s="60" t="s">
        <v>20</v>
      </c>
      <c r="F140" s="60" t="s">
        <v>36</v>
      </c>
      <c r="G140" s="70">
        <v>45727.0</v>
      </c>
      <c r="H140" s="65">
        <f>IF(B140 = "Smile", G140 + 'Over View'!$B$3, IF(B140 = "Bianco" , G140 + 'Over View'!$B$4, IF(B140 = "Giallo" , G140 + 'Over View'!$B$5, IF(B140 = "Blu" , G140 + 'Over View'!$B$6, IF(B140 = "Verde" , G140 + 'Over View'!$B$7, IF(B140 = "Rosso" , G140 + 'Over View'!$B$8, "Grado Non Inserito") )))))</f>
        <v>45741</v>
      </c>
      <c r="I140" s="66" t="b">
        <v>0</v>
      </c>
      <c r="J140" s="73" t="s">
        <v>41</v>
      </c>
      <c r="K140" s="72"/>
      <c r="L140" s="69" t="str">
        <f t="shared" si="1"/>
        <v>off set</v>
      </c>
    </row>
    <row r="141" ht="22.5" customHeight="1">
      <c r="A141" s="59">
        <v>140.0</v>
      </c>
      <c r="B141" s="60" t="s">
        <v>21</v>
      </c>
      <c r="C141" s="61">
        <v>1.0</v>
      </c>
      <c r="D141" s="62"/>
      <c r="E141" s="60" t="s">
        <v>32</v>
      </c>
      <c r="F141" s="60" t="s">
        <v>40</v>
      </c>
      <c r="G141" s="70">
        <v>45728.0</v>
      </c>
      <c r="H141" s="65">
        <f>IF(B141 = "Smile", G141 + 'Over View'!$B$3, IF(B141 = "Bianco" , G141 + 'Over View'!$B$4, IF(B141 = "Giallo" , G141 + 'Over View'!$B$5, IF(B141 = "Blu" , G141 + 'Over View'!$B$6, IF(B141 = "Verde" , G141 + 'Over View'!$B$7, IF(B141 = "Rosso" , G141 + 'Over View'!$B$8, "Grado Non Inserito") )))))</f>
        <v>45742</v>
      </c>
      <c r="I141" s="66" t="b">
        <v>0</v>
      </c>
      <c r="J141" s="73" t="s">
        <v>41</v>
      </c>
      <c r="K141" s="72"/>
      <c r="L141" s="69" t="str">
        <f t="shared" si="1"/>
        <v>off set</v>
      </c>
    </row>
    <row r="142" ht="22.5" customHeight="1">
      <c r="A142" s="59">
        <v>141.0</v>
      </c>
      <c r="B142" s="60" t="s">
        <v>18</v>
      </c>
      <c r="C142" s="61">
        <v>3.0</v>
      </c>
      <c r="D142" s="62"/>
      <c r="E142" s="60" t="s">
        <v>32</v>
      </c>
      <c r="F142" s="60" t="s">
        <v>40</v>
      </c>
      <c r="G142" s="70">
        <v>45728.0</v>
      </c>
      <c r="H142" s="65">
        <f>IF(B142 = "Smile", G142 + 'Over View'!$B$3, IF(B142 = "Bianco" , G142 + 'Over View'!$B$4, IF(B142 = "Giallo" , G142 + 'Over View'!$B$5, IF(B142 = "Blu" , G142 + 'Over View'!$B$6, IF(B142 = "Verde" , G142 + 'Over View'!$B$7, IF(B142 = "Rosso" , G142 + 'Over View'!$B$8, "Grado Non Inserito") )))))</f>
        <v>45758</v>
      </c>
      <c r="I142" s="66" t="b">
        <v>0</v>
      </c>
      <c r="J142" s="73" t="s">
        <v>41</v>
      </c>
      <c r="K142" s="72"/>
      <c r="L142" s="69" t="str">
        <f t="shared" si="1"/>
        <v>off set</v>
      </c>
    </row>
    <row r="143" ht="22.5" customHeight="1">
      <c r="A143" s="59">
        <v>142.0</v>
      </c>
      <c r="B143" s="60" t="s">
        <v>12</v>
      </c>
      <c r="C143" s="61">
        <v>6.0</v>
      </c>
      <c r="D143" s="62"/>
      <c r="E143" s="60" t="s">
        <v>20</v>
      </c>
      <c r="F143" s="60" t="s">
        <v>40</v>
      </c>
      <c r="G143" s="70">
        <v>45728.0</v>
      </c>
      <c r="H143" s="65">
        <f>IF(B143 = "Smile", G143 + 'Over View'!$B$3, IF(B143 = "Bianco" , G143 + 'Over View'!$B$4, IF(B143 = "Giallo" , G143 + 'Over View'!$B$5, IF(B143 = "Blu" , G143 + 'Over View'!$B$6, IF(B143 = "Verde" , G143 + 'Over View'!$B$7, IF(B143 = "Rosso" , G143 + 'Over View'!$B$8, "Grado Non Inserito") )))))</f>
        <v>45758</v>
      </c>
      <c r="I143" s="66" t="b">
        <v>0</v>
      </c>
      <c r="J143" s="73" t="s">
        <v>41</v>
      </c>
      <c r="K143" s="72"/>
      <c r="L143" s="69" t="str">
        <f t="shared" si="1"/>
        <v>off set</v>
      </c>
    </row>
    <row r="144" ht="22.5" customHeight="1">
      <c r="A144" s="59">
        <v>143.0</v>
      </c>
      <c r="B144" s="60" t="s">
        <v>21</v>
      </c>
      <c r="C144" s="61">
        <v>4.0</v>
      </c>
      <c r="D144" s="62"/>
      <c r="E144" s="60" t="s">
        <v>33</v>
      </c>
      <c r="F144" s="60" t="s">
        <v>14</v>
      </c>
      <c r="G144" s="70">
        <v>45727.0</v>
      </c>
      <c r="H144" s="65">
        <f>IF(B144 = "Smile", G144 + 'Over View'!$B$3, IF(B144 = "Bianco" , G144 + 'Over View'!$B$4, IF(B144 = "Giallo" , G144 + 'Over View'!$B$5, IF(B144 = "Blu" , G144 + 'Over View'!$B$6, IF(B144 = "Verde" , G144 + 'Over View'!$B$7, IF(B144 = "Rosso" , G144 + 'Over View'!$B$8, "Grado Non Inserito") )))))</f>
        <v>45741</v>
      </c>
      <c r="I144" s="66" t="b">
        <v>0</v>
      </c>
      <c r="J144" s="73" t="s">
        <v>15</v>
      </c>
      <c r="K144" s="72"/>
      <c r="L144" s="69" t="str">
        <f t="shared" si="1"/>
        <v>off set</v>
      </c>
    </row>
    <row r="145" ht="22.5" customHeight="1">
      <c r="A145" s="59">
        <v>144.0</v>
      </c>
      <c r="B145" s="60" t="s">
        <v>18</v>
      </c>
      <c r="C145" s="61">
        <v>16.0</v>
      </c>
      <c r="D145" s="62"/>
      <c r="E145" s="60" t="s">
        <v>38</v>
      </c>
      <c r="F145" s="60" t="s">
        <v>14</v>
      </c>
      <c r="G145" s="70">
        <v>45727.0</v>
      </c>
      <c r="H145" s="65">
        <f>IF(B145 = "Smile", G145 + 'Over View'!$B$3, IF(B145 = "Bianco" , G145 + 'Over View'!$B$4, IF(B145 = "Giallo" , G145 + 'Over View'!$B$5, IF(B145 = "Blu" , G145 + 'Over View'!$B$6, IF(B145 = "Verde" , G145 + 'Over View'!$B$7, IF(B145 = "Rosso" , G145 + 'Over View'!$B$8, "Grado Non Inserito") )))))</f>
        <v>45757</v>
      </c>
      <c r="I145" s="66" t="b">
        <v>0</v>
      </c>
      <c r="J145" s="73" t="s">
        <v>15</v>
      </c>
      <c r="K145" s="72"/>
      <c r="L145" s="69" t="str">
        <f t="shared" si="1"/>
        <v>off set</v>
      </c>
    </row>
    <row r="146" ht="22.5" customHeight="1">
      <c r="A146" s="59">
        <v>145.0</v>
      </c>
      <c r="B146" s="60" t="s">
        <v>21</v>
      </c>
      <c r="C146" s="61">
        <v>16.0</v>
      </c>
      <c r="D146" s="62"/>
      <c r="E146" s="60" t="s">
        <v>13</v>
      </c>
      <c r="F146" s="60" t="s">
        <v>14</v>
      </c>
      <c r="G146" s="70">
        <v>45727.0</v>
      </c>
      <c r="H146" s="65">
        <f>IF(B146 = "Smile", G146 + 'Over View'!$B$3, IF(B146 = "Bianco" , G146 + 'Over View'!$B$4, IF(B146 = "Giallo" , G146 + 'Over View'!$B$5, IF(B146 = "Blu" , G146 + 'Over View'!$B$6, IF(B146 = "Verde" , G146 + 'Over View'!$B$7, IF(B146 = "Rosso" , G146 + 'Over View'!$B$8, "Grado Non Inserito") )))))</f>
        <v>45741</v>
      </c>
      <c r="I146" s="66" t="b">
        <v>0</v>
      </c>
      <c r="J146" s="73" t="s">
        <v>15</v>
      </c>
      <c r="K146" s="72"/>
      <c r="L146" s="69" t="str">
        <f t="shared" si="1"/>
        <v>off set</v>
      </c>
    </row>
    <row r="147" ht="22.5" customHeight="1">
      <c r="A147" s="59">
        <v>146.0</v>
      </c>
      <c r="B147" s="60" t="s">
        <v>12</v>
      </c>
      <c r="C147" s="61">
        <v>2.0</v>
      </c>
      <c r="D147" s="62"/>
      <c r="E147" s="60" t="s">
        <v>38</v>
      </c>
      <c r="F147" s="60" t="s">
        <v>14</v>
      </c>
      <c r="G147" s="70">
        <v>45727.0</v>
      </c>
      <c r="H147" s="65">
        <f>IF(B147 = "Smile", G147 + 'Over View'!$B$3, IF(B147 = "Bianco" , G147 + 'Over View'!$B$4, IF(B147 = "Giallo" , G147 + 'Over View'!$B$5, IF(B147 = "Blu" , G147 + 'Over View'!$B$6, IF(B147 = "Verde" , G147 + 'Over View'!$B$7, IF(B147 = "Rosso" , G147 + 'Over View'!$B$8, "Grado Non Inserito") )))))</f>
        <v>45757</v>
      </c>
      <c r="I147" s="66" t="b">
        <v>0</v>
      </c>
      <c r="J147" s="73" t="s">
        <v>15</v>
      </c>
      <c r="K147" s="72"/>
      <c r="L147" s="69" t="str">
        <f t="shared" si="1"/>
        <v>off set</v>
      </c>
    </row>
    <row r="148" ht="22.5" customHeight="1">
      <c r="A148" s="59">
        <v>147.0</v>
      </c>
      <c r="B148" s="60" t="s">
        <v>21</v>
      </c>
      <c r="C148" s="61">
        <v>13.0</v>
      </c>
      <c r="D148" s="62"/>
      <c r="E148" s="60" t="s">
        <v>20</v>
      </c>
      <c r="F148" s="60" t="s">
        <v>40</v>
      </c>
      <c r="G148" s="70">
        <v>45728.0</v>
      </c>
      <c r="H148" s="65">
        <f>IF(B148 = "Smile", G148 + 'Over View'!$B$3, IF(B148 = "Bianco" , G148 + 'Over View'!$B$4, IF(B148 = "Giallo" , G148 + 'Over View'!$B$5, IF(B148 = "Blu" , G148 + 'Over View'!$B$6, IF(B148 = "Verde" , G148 + 'Over View'!$B$7, IF(B148 = "Rosso" , G148 + 'Over View'!$B$8, "Grado Non Inserito") )))))</f>
        <v>45742</v>
      </c>
      <c r="I148" s="66" t="b">
        <v>0</v>
      </c>
      <c r="J148" s="73" t="s">
        <v>41</v>
      </c>
      <c r="K148" s="72"/>
      <c r="L148" s="69" t="str">
        <f t="shared" si="1"/>
        <v>off set</v>
      </c>
    </row>
    <row r="149" ht="22.5" customHeight="1">
      <c r="A149" s="59">
        <v>148.0</v>
      </c>
      <c r="B149" s="60" t="s">
        <v>16</v>
      </c>
      <c r="C149" s="61">
        <v>7.0</v>
      </c>
      <c r="D149" s="60" t="s">
        <v>18</v>
      </c>
      <c r="E149" s="60" t="s">
        <v>13</v>
      </c>
      <c r="F149" s="60" t="s">
        <v>40</v>
      </c>
      <c r="G149" s="70">
        <v>45735.0</v>
      </c>
      <c r="H149" s="65">
        <f>IF(B149 = "Smile", G149 + 'Over View'!$B$3, IF(B149 = "Bianco" , G149 + 'Over View'!$B$4, IF(B149 = "Giallo" , G149 + 'Over View'!$B$5, IF(B149 = "Blu" , G149 + 'Over View'!$B$6, IF(B149 = "Verde" , G149 + 'Over View'!$B$7, IF(B149 = "Rosso" , G149 + 'Over View'!$B$8, "Grado Non Inserito") )))))</f>
        <v>45749</v>
      </c>
      <c r="I149" s="66" t="b">
        <v>0</v>
      </c>
      <c r="J149" s="73" t="s">
        <v>41</v>
      </c>
      <c r="K149" s="72"/>
      <c r="L149" s="69" t="str">
        <f t="shared" si="1"/>
        <v>off set</v>
      </c>
    </row>
    <row r="150" ht="22.5" customHeight="1">
      <c r="A150" s="59">
        <v>149.0</v>
      </c>
      <c r="B150" s="60" t="s">
        <v>21</v>
      </c>
      <c r="C150" s="61">
        <v>5.0</v>
      </c>
      <c r="D150" s="60" t="s">
        <v>11</v>
      </c>
      <c r="E150" s="60" t="s">
        <v>30</v>
      </c>
      <c r="F150" s="60" t="s">
        <v>40</v>
      </c>
      <c r="G150" s="70">
        <v>45735.0</v>
      </c>
      <c r="H150" s="65">
        <f>IF(B150 = "Smile", G150 + 'Over View'!$B$3, IF(B150 = "Bianco" , G150 + 'Over View'!$B$4, IF(B150 = "Giallo" , G150 + 'Over View'!$B$5, IF(B150 = "Blu" , G150 + 'Over View'!$B$6, IF(B150 = "Verde" , G150 + 'Over View'!$B$7, IF(B150 = "Rosso" , G150 + 'Over View'!$B$8, "Grado Non Inserito") )))))</f>
        <v>45749</v>
      </c>
      <c r="I150" s="66" t="b">
        <v>0</v>
      </c>
      <c r="J150" s="73" t="s">
        <v>15</v>
      </c>
      <c r="K150" s="72"/>
      <c r="L150" s="69" t="str">
        <f t="shared" si="1"/>
        <v>off set</v>
      </c>
    </row>
    <row r="151" ht="22.5" customHeight="1">
      <c r="A151" s="59">
        <v>150.0</v>
      </c>
      <c r="B151" s="60" t="s">
        <v>21</v>
      </c>
      <c r="C151" s="74"/>
      <c r="D151" s="60" t="s">
        <v>61</v>
      </c>
      <c r="E151" s="60" t="s">
        <v>35</v>
      </c>
      <c r="F151" s="60" t="s">
        <v>36</v>
      </c>
      <c r="G151" s="70">
        <v>45737.0</v>
      </c>
      <c r="H151" s="65">
        <f>IF(B151 = "Smile", G151 + 'Over View'!$B$3, IF(B151 = "Bianco" , G151 + 'Over View'!$B$4, IF(B151 = "Giallo" , G151 + 'Over View'!$B$5, IF(B151 = "Blu" , G151 + 'Over View'!$B$6, IF(B151 = "Verde" , G151 + 'Over View'!$B$7, IF(B151 = "Rosso" , G151 + 'Over View'!$B$8, "Grado Non Inserito") )))))</f>
        <v>45751</v>
      </c>
      <c r="I151" s="66" t="b">
        <v>0</v>
      </c>
      <c r="J151" s="73" t="s">
        <v>41</v>
      </c>
      <c r="K151" s="72"/>
      <c r="L151" s="69" t="str">
        <f t="shared" si="1"/>
        <v>off set</v>
      </c>
    </row>
    <row r="152" ht="22.5" customHeight="1">
      <c r="A152" s="59">
        <v>151.0</v>
      </c>
      <c r="B152" s="60" t="s">
        <v>23</v>
      </c>
      <c r="C152" s="74"/>
      <c r="D152" s="60" t="s">
        <v>18</v>
      </c>
      <c r="E152" s="60" t="s">
        <v>30</v>
      </c>
      <c r="F152" s="60" t="s">
        <v>36</v>
      </c>
      <c r="G152" s="70">
        <v>45737.0</v>
      </c>
      <c r="H152" s="65">
        <f>IF(B152 = "Smile", G152 + 'Over View'!$B$3, IF(B152 = "Bianco" , G152 + 'Over View'!$B$4, IF(B152 = "Giallo" , G152 + 'Over View'!$B$5, IF(B152 = "Blu" , G152 + 'Over View'!$B$6, IF(B152 = "Verde" , G152 + 'Over View'!$B$7, IF(B152 = "Rosso" , G152 + 'Over View'!$B$8, "Grado Non Inserito") )))))</f>
        <v>45758</v>
      </c>
      <c r="I152" s="66" t="b">
        <v>0</v>
      </c>
      <c r="J152" s="73" t="s">
        <v>41</v>
      </c>
      <c r="K152" s="72"/>
      <c r="L152" s="69" t="str">
        <f t="shared" si="1"/>
        <v>off set</v>
      </c>
    </row>
    <row r="153" ht="22.5" customHeight="1">
      <c r="A153" s="59">
        <v>152.0</v>
      </c>
      <c r="B153" s="60" t="s">
        <v>12</v>
      </c>
      <c r="C153" s="74"/>
      <c r="D153" s="60" t="s">
        <v>19</v>
      </c>
      <c r="E153" s="60" t="s">
        <v>30</v>
      </c>
      <c r="F153" s="60" t="s">
        <v>36</v>
      </c>
      <c r="G153" s="70">
        <v>45737.0</v>
      </c>
      <c r="H153" s="65">
        <f>IF(B153 = "Smile", G153 + 'Over View'!$B$3, IF(B153 = "Bianco" , G153 + 'Over View'!$B$4, IF(B153 = "Giallo" , G153 + 'Over View'!$B$5, IF(B153 = "Blu" , G153 + 'Over View'!$B$6, IF(B153 = "Verde" , G153 + 'Over View'!$B$7, IF(B153 = "Rosso" , G153 + 'Over View'!$B$8, "Grado Non Inserito") )))))</f>
        <v>45767</v>
      </c>
      <c r="I153" s="66" t="b">
        <v>0</v>
      </c>
      <c r="J153" s="73" t="s">
        <v>41</v>
      </c>
      <c r="K153" s="72"/>
      <c r="L153" s="69" t="str">
        <f t="shared" si="1"/>
        <v>off set</v>
      </c>
    </row>
    <row r="154" ht="22.5" customHeight="1">
      <c r="A154" s="59">
        <v>153.0</v>
      </c>
      <c r="B154" s="60" t="s">
        <v>18</v>
      </c>
      <c r="C154" s="74"/>
      <c r="D154" s="60" t="s">
        <v>25</v>
      </c>
      <c r="E154" s="60" t="s">
        <v>28</v>
      </c>
      <c r="F154" s="60" t="s">
        <v>36</v>
      </c>
      <c r="G154" s="70">
        <v>45737.0</v>
      </c>
      <c r="H154" s="65">
        <f>IF(B154 = "Smile", G154 + 'Over View'!$B$3, IF(B154 = "Bianco" , G154 + 'Over View'!$B$4, IF(B154 = "Giallo" , G154 + 'Over View'!$B$5, IF(B154 = "Blu" , G154 + 'Over View'!$B$6, IF(B154 = "Verde" , G154 + 'Over View'!$B$7, IF(B154 = "Rosso" , G154 + 'Over View'!$B$8, "Grado Non Inserito") )))))</f>
        <v>45767</v>
      </c>
      <c r="I154" s="66" t="b">
        <v>0</v>
      </c>
      <c r="J154" s="73" t="s">
        <v>41</v>
      </c>
      <c r="K154" s="72"/>
      <c r="L154" s="69" t="str">
        <f t="shared" si="1"/>
        <v>off set</v>
      </c>
    </row>
    <row r="155" ht="22.5" customHeight="1">
      <c r="A155" s="59">
        <v>154.0</v>
      </c>
      <c r="B155" s="60" t="s">
        <v>16</v>
      </c>
      <c r="C155" s="61">
        <v>10.0</v>
      </c>
      <c r="D155" s="60" t="s">
        <v>31</v>
      </c>
      <c r="E155" s="60" t="s">
        <v>13</v>
      </c>
      <c r="F155" s="60" t="s">
        <v>24</v>
      </c>
      <c r="G155" s="70">
        <v>45760.0</v>
      </c>
      <c r="H155" s="65">
        <f>IF(B155 = "Smile", G155 + 'Over View'!$B$3, IF(B155 = "Bianco" , G155 + 'Over View'!$B$4, IF(B155 = "Giallo" , G155 + 'Over View'!$B$5, IF(B155 = "Blu" , G155 + 'Over View'!$B$6, IF(B155 = "Verde" , G155 + 'Over View'!$B$7, IF(B155 = "Rosso" , G155 + 'Over View'!$B$8, "Grado Non Inserito") )))))</f>
        <v>45774</v>
      </c>
      <c r="I155" s="66" t="b">
        <v>0</v>
      </c>
      <c r="J155" s="73" t="s">
        <v>15</v>
      </c>
      <c r="K155" s="72"/>
      <c r="L155" s="69" t="str">
        <f t="shared" si="1"/>
        <v>off set</v>
      </c>
    </row>
    <row r="156" ht="22.5" customHeight="1">
      <c r="A156" s="59">
        <v>155.0</v>
      </c>
      <c r="B156" s="60" t="s">
        <v>11</v>
      </c>
      <c r="C156" s="61">
        <v>9.0</v>
      </c>
      <c r="D156" s="60" t="s">
        <v>23</v>
      </c>
      <c r="E156" s="60" t="s">
        <v>13</v>
      </c>
      <c r="F156" s="60" t="s">
        <v>40</v>
      </c>
      <c r="G156" s="70">
        <v>45762.0</v>
      </c>
      <c r="H156" s="65">
        <f>IF(B156 = "Smile", G156 + 'Over View'!$B$3, IF(B156 = "Bianco" , G156 + 'Over View'!$B$4, IF(B156 = "Giallo" , G156 + 'Over View'!$B$5, IF(B156 = "Blu" , G156 + 'Over View'!$B$6, IF(B156 = "Verde" , G156 + 'Over View'!$B$7, IF(B156 = "Rosso" , G156 + 'Over View'!$B$8, "Grado Non Inserito") )))))</f>
        <v>45783</v>
      </c>
      <c r="I156" s="66" t="b">
        <v>0</v>
      </c>
      <c r="J156" s="73" t="s">
        <v>15</v>
      </c>
      <c r="K156" s="72"/>
      <c r="L156" s="69" t="str">
        <f t="shared" si="1"/>
        <v>off set</v>
      </c>
    </row>
    <row r="157" ht="22.5" customHeight="1">
      <c r="A157" s="59">
        <v>156.0</v>
      </c>
      <c r="B157" s="60" t="s">
        <v>18</v>
      </c>
      <c r="C157" s="61">
        <v>5.0</v>
      </c>
      <c r="D157" s="60" t="s">
        <v>11</v>
      </c>
      <c r="E157" s="60" t="s">
        <v>13</v>
      </c>
      <c r="F157" s="60" t="s">
        <v>36</v>
      </c>
      <c r="G157" s="70">
        <v>45760.0</v>
      </c>
      <c r="H157" s="65">
        <f>IF(B157 = "Smile", G157 + 'Over View'!$B$3, IF(B157 = "Bianco" , G157 + 'Over View'!$B$4, IF(B157 = "Giallo" , G157 + 'Over View'!$B$5, IF(B157 = "Blu" , G157 + 'Over View'!$B$6, IF(B157 = "Verde" , G157 + 'Over View'!$B$7, IF(B157 = "Rosso" , G157 + 'Over View'!$B$8, "Grado Non Inserito") )))))</f>
        <v>45790</v>
      </c>
      <c r="I157" s="66" t="b">
        <v>0</v>
      </c>
      <c r="J157" s="73" t="s">
        <v>15</v>
      </c>
      <c r="K157" s="72"/>
      <c r="L157" s="69" t="str">
        <f t="shared" si="1"/>
        <v>off set</v>
      </c>
    </row>
    <row r="158" ht="22.5" customHeight="1">
      <c r="A158" s="59">
        <v>157.0</v>
      </c>
      <c r="B158" s="60" t="s">
        <v>18</v>
      </c>
      <c r="C158" s="61">
        <v>7.0</v>
      </c>
      <c r="D158" s="60" t="s">
        <v>18</v>
      </c>
      <c r="E158" s="60" t="s">
        <v>13</v>
      </c>
      <c r="F158" s="60" t="s">
        <v>24</v>
      </c>
      <c r="G158" s="70">
        <v>45760.0</v>
      </c>
      <c r="H158" s="65">
        <f>IF(B158 = "Smile", G158 + 'Over View'!$B$3, IF(B158 = "Bianco" , G158 + 'Over View'!$B$4, IF(B158 = "Giallo" , G158 + 'Over View'!$B$5, IF(B158 = "Blu" , G158 + 'Over View'!$B$6, IF(B158 = "Verde" , G158 + 'Over View'!$B$7, IF(B158 = "Rosso" , G158 + 'Over View'!$B$8, "Grado Non Inserito") )))))</f>
        <v>45790</v>
      </c>
      <c r="I158" s="66" t="b">
        <v>0</v>
      </c>
      <c r="J158" s="73" t="s">
        <v>15</v>
      </c>
      <c r="K158" s="72"/>
      <c r="L158" s="69" t="str">
        <f t="shared" si="1"/>
        <v>off set</v>
      </c>
    </row>
    <row r="159" ht="22.5" customHeight="1">
      <c r="A159" s="59">
        <v>158.0</v>
      </c>
      <c r="B159" s="60" t="s">
        <v>11</v>
      </c>
      <c r="C159" s="61">
        <v>8.0</v>
      </c>
      <c r="D159" s="60" t="s">
        <v>12</v>
      </c>
      <c r="E159" s="60" t="s">
        <v>20</v>
      </c>
      <c r="F159" s="60" t="s">
        <v>39</v>
      </c>
      <c r="G159" s="70">
        <v>45760.0</v>
      </c>
      <c r="H159" s="65">
        <f>IF(B159 = "Smile", G159 + 'Over View'!$B$3, IF(B159 = "Bianco" , G159 + 'Over View'!$B$4, IF(B159 = "Giallo" , G159 + 'Over View'!$B$5, IF(B159 = "Blu" , G159 + 'Over View'!$B$6, IF(B159 = "Verde" , G159 + 'Over View'!$B$7, IF(B159 = "Rosso" , G159 + 'Over View'!$B$8, "Grado Non Inserito") )))))</f>
        <v>45781</v>
      </c>
      <c r="I159" s="66" t="b">
        <v>0</v>
      </c>
      <c r="J159" s="73" t="s">
        <v>15</v>
      </c>
      <c r="K159" s="72"/>
      <c r="L159" s="69" t="str">
        <f t="shared" si="1"/>
        <v>off set</v>
      </c>
    </row>
    <row r="160" ht="22.5" customHeight="1">
      <c r="A160" s="59">
        <v>159.0</v>
      </c>
      <c r="B160" s="60" t="s">
        <v>21</v>
      </c>
      <c r="C160" s="61">
        <v>10.0</v>
      </c>
      <c r="D160" s="60" t="s">
        <v>19</v>
      </c>
      <c r="E160" s="60" t="s">
        <v>20</v>
      </c>
      <c r="F160" s="60" t="s">
        <v>39</v>
      </c>
      <c r="G160" s="70">
        <v>45760.0</v>
      </c>
      <c r="H160" s="65">
        <f>IF(B160 = "Smile", G160 + 'Over View'!$B$3, IF(B160 = "Bianco" , G160 + 'Over View'!$B$4, IF(B160 = "Giallo" , G160 + 'Over View'!$B$5, IF(B160 = "Blu" , G160 + 'Over View'!$B$6, IF(B160 = "Verde" , G160 + 'Over View'!$B$7, IF(B160 = "Rosso" , G160 + 'Over View'!$B$8, "Grado Non Inserito") )))))</f>
        <v>45774</v>
      </c>
      <c r="I160" s="66" t="b">
        <v>0</v>
      </c>
      <c r="J160" s="73" t="s">
        <v>15</v>
      </c>
      <c r="K160" s="72"/>
      <c r="L160" s="69" t="str">
        <f t="shared" si="1"/>
        <v>off set</v>
      </c>
    </row>
    <row r="161" ht="22.5" customHeight="1">
      <c r="A161" s="59">
        <v>160.0</v>
      </c>
      <c r="B161" s="60" t="s">
        <v>16</v>
      </c>
      <c r="C161" s="61">
        <v>14.0</v>
      </c>
      <c r="D161" s="60" t="s">
        <v>11</v>
      </c>
      <c r="E161" s="60" t="s">
        <v>20</v>
      </c>
      <c r="F161" s="60" t="s">
        <v>36</v>
      </c>
      <c r="G161" s="70">
        <v>45760.0</v>
      </c>
      <c r="H161" s="65">
        <f>IF(B161 = "Smile", G161 + 'Over View'!$B$3, IF(B161 = "Bianco" , G161 + 'Over View'!$B$4, IF(B161 = "Giallo" , G161 + 'Over View'!$B$5, IF(B161 = "Blu" , G161 + 'Over View'!$B$6, IF(B161 = "Verde" , G161 + 'Over View'!$B$7, IF(B161 = "Rosso" , G161 + 'Over View'!$B$8, "Grado Non Inserito") )))))</f>
        <v>45774</v>
      </c>
      <c r="I161" s="66" t="b">
        <v>0</v>
      </c>
      <c r="J161" s="73" t="s">
        <v>15</v>
      </c>
      <c r="K161" s="72"/>
      <c r="L161" s="69" t="str">
        <f t="shared" si="1"/>
        <v>off set</v>
      </c>
    </row>
    <row r="162" ht="22.5" customHeight="1">
      <c r="A162" s="59">
        <v>161.0</v>
      </c>
      <c r="B162" s="60" t="s">
        <v>12</v>
      </c>
      <c r="C162" s="61">
        <v>7.0</v>
      </c>
      <c r="D162" s="60" t="s">
        <v>23</v>
      </c>
      <c r="E162" s="60" t="s">
        <v>26</v>
      </c>
      <c r="F162" s="60" t="s">
        <v>14</v>
      </c>
      <c r="G162" s="70">
        <v>45760.0</v>
      </c>
      <c r="H162" s="65">
        <f>IF(B162 = "Smile", G162 + 'Over View'!$B$3, IF(B162 = "Bianco" , G162 + 'Over View'!$B$4, IF(B162 = "Giallo" , G162 + 'Over View'!$B$5, IF(B162 = "Blu" , G162 + 'Over View'!$B$6, IF(B162 = "Verde" , G162 + 'Over View'!$B$7, IF(B162 = "Rosso" , G162 + 'Over View'!$B$8, "Grado Non Inserito") )))))</f>
        <v>45790</v>
      </c>
      <c r="I162" s="66" t="b">
        <v>0</v>
      </c>
      <c r="J162" s="73" t="s">
        <v>15</v>
      </c>
      <c r="K162" s="72"/>
      <c r="L162" s="69" t="str">
        <f t="shared" si="1"/>
        <v>off set</v>
      </c>
    </row>
    <row r="163" ht="22.5" customHeight="1">
      <c r="A163" s="59">
        <v>162.0</v>
      </c>
      <c r="B163" s="60" t="s">
        <v>18</v>
      </c>
      <c r="C163" s="61">
        <v>13.0</v>
      </c>
      <c r="D163" s="60" t="s">
        <v>27</v>
      </c>
      <c r="E163" s="60" t="s">
        <v>26</v>
      </c>
      <c r="F163" s="60" t="s">
        <v>24</v>
      </c>
      <c r="G163" s="70">
        <v>45760.0</v>
      </c>
      <c r="H163" s="65">
        <f>IF(B163 = "Smile", G163 + 'Over View'!$B$3, IF(B163 = "Bianco" , G163 + 'Over View'!$B$4, IF(B163 = "Giallo" , G163 + 'Over View'!$B$5, IF(B163 = "Blu" , G163 + 'Over View'!$B$6, IF(B163 = "Verde" , G163 + 'Over View'!$B$7, IF(B163 = "Rosso" , G163 + 'Over View'!$B$8, "Grado Non Inserito") )))))</f>
        <v>45790</v>
      </c>
      <c r="I163" s="66" t="b">
        <v>0</v>
      </c>
      <c r="J163" s="73" t="s">
        <v>15</v>
      </c>
      <c r="K163" s="72"/>
      <c r="L163" s="69" t="str">
        <f t="shared" si="1"/>
        <v>off set</v>
      </c>
    </row>
    <row r="164" ht="22.5" customHeight="1">
      <c r="A164" s="59">
        <v>163.0</v>
      </c>
      <c r="B164" s="60" t="s">
        <v>18</v>
      </c>
      <c r="C164" s="61">
        <v>14.0</v>
      </c>
      <c r="D164" s="60" t="s">
        <v>18</v>
      </c>
      <c r="E164" s="60" t="s">
        <v>26</v>
      </c>
      <c r="F164" s="60" t="s">
        <v>14</v>
      </c>
      <c r="G164" s="70">
        <v>45760.0</v>
      </c>
      <c r="H164" s="65">
        <f>IF(B164 = "Smile", G164 + 'Over View'!$B$3, IF(B164 = "Bianco" , G164 + 'Over View'!$B$4, IF(B164 = "Giallo" , G164 + 'Over View'!$B$5, IF(B164 = "Blu" , G164 + 'Over View'!$B$6, IF(B164 = "Verde" , G164 + 'Over View'!$B$7, IF(B164 = "Rosso" , G164 + 'Over View'!$B$8, "Grado Non Inserito") )))))</f>
        <v>45790</v>
      </c>
      <c r="I164" s="66" t="b">
        <v>0</v>
      </c>
      <c r="J164" s="73" t="s">
        <v>15</v>
      </c>
      <c r="K164" s="72"/>
      <c r="L164" s="69" t="str">
        <f t="shared" si="1"/>
        <v>off set</v>
      </c>
    </row>
    <row r="165" ht="22.5" customHeight="1">
      <c r="A165" s="59">
        <v>164.0</v>
      </c>
      <c r="B165" s="60" t="s">
        <v>12</v>
      </c>
      <c r="C165" s="61">
        <v>8.0</v>
      </c>
      <c r="D165" s="60" t="s">
        <v>19</v>
      </c>
      <c r="E165" s="60" t="s">
        <v>26</v>
      </c>
      <c r="F165" s="60" t="s">
        <v>14</v>
      </c>
      <c r="G165" s="70">
        <v>45760.0</v>
      </c>
      <c r="H165" s="65">
        <f>IF(B165 = "Smile", G165 + 'Over View'!$B$3, IF(B165 = "Bianco" , G165 + 'Over View'!$B$4, IF(B165 = "Giallo" , G165 + 'Over View'!$B$5, IF(B165 = "Blu" , G165 + 'Over View'!$B$6, IF(B165 = "Verde" , G165 + 'Over View'!$B$7, IF(B165 = "Rosso" , G165 + 'Over View'!$B$8, "Grado Non Inserito") )))))</f>
        <v>45790</v>
      </c>
      <c r="I165" s="66" t="b">
        <v>0</v>
      </c>
      <c r="J165" s="73" t="s">
        <v>15</v>
      </c>
      <c r="K165" s="72"/>
      <c r="L165" s="69" t="str">
        <f t="shared" si="1"/>
        <v>off set</v>
      </c>
    </row>
    <row r="166" ht="22.5" customHeight="1">
      <c r="A166" s="59">
        <v>165.0</v>
      </c>
      <c r="B166" s="60" t="s">
        <v>21</v>
      </c>
      <c r="C166" s="61">
        <v>9.0</v>
      </c>
      <c r="D166" s="60" t="s">
        <v>25</v>
      </c>
      <c r="E166" s="60" t="s">
        <v>26</v>
      </c>
      <c r="F166" s="60" t="s">
        <v>24</v>
      </c>
      <c r="G166" s="70">
        <v>45760.0</v>
      </c>
      <c r="H166" s="65">
        <f>IF(B166 = "Smile", G166 + 'Over View'!$B$3, IF(B166 = "Bianco" , G166 + 'Over View'!$B$4, IF(B166 = "Giallo" , G166 + 'Over View'!$B$5, IF(B166 = "Blu" , G166 + 'Over View'!$B$6, IF(B166 = "Verde" , G166 + 'Over View'!$B$7, IF(B166 = "Rosso" , G166 + 'Over View'!$B$8, "Grado Non Inserito") )))))</f>
        <v>45774</v>
      </c>
      <c r="I166" s="66" t="b">
        <v>0</v>
      </c>
      <c r="J166" s="73" t="s">
        <v>15</v>
      </c>
      <c r="K166" s="72"/>
      <c r="L166" s="69" t="str">
        <f t="shared" si="1"/>
        <v>off set</v>
      </c>
    </row>
    <row r="167" ht="22.5" customHeight="1">
      <c r="A167" s="59">
        <v>166.0</v>
      </c>
      <c r="B167" s="60" t="s">
        <v>21</v>
      </c>
      <c r="C167" s="61">
        <v>15.0</v>
      </c>
      <c r="D167" s="60" t="s">
        <v>12</v>
      </c>
      <c r="E167" s="60" t="s">
        <v>28</v>
      </c>
      <c r="F167" s="60" t="s">
        <v>24</v>
      </c>
      <c r="G167" s="70">
        <v>45760.0</v>
      </c>
      <c r="H167" s="65">
        <f>IF(B167 = "Smile", G167 + 'Over View'!$B$3, IF(B167 = "Bianco" , G167 + 'Over View'!$B$4, IF(B167 = "Giallo" , G167 + 'Over View'!$B$5, IF(B167 = "Blu" , G167 + 'Over View'!$B$6, IF(B167 = "Verde" , G167 + 'Over View'!$B$7, IF(B167 = "Rosso" , G167 + 'Over View'!$B$8, "Grado Non Inserito") )))))</f>
        <v>45774</v>
      </c>
      <c r="I167" s="66" t="b">
        <v>0</v>
      </c>
      <c r="J167" s="73" t="s">
        <v>15</v>
      </c>
      <c r="K167" s="72"/>
      <c r="L167" s="69" t="str">
        <f t="shared" si="1"/>
        <v>off set</v>
      </c>
    </row>
    <row r="168" ht="22.5" customHeight="1">
      <c r="A168" s="59">
        <v>167.0</v>
      </c>
      <c r="B168" s="60" t="s">
        <v>18</v>
      </c>
      <c r="C168" s="61">
        <v>2.0</v>
      </c>
      <c r="D168" s="60" t="s">
        <v>19</v>
      </c>
      <c r="E168" s="60" t="s">
        <v>28</v>
      </c>
      <c r="F168" s="60" t="s">
        <v>24</v>
      </c>
      <c r="G168" s="70">
        <v>45760.0</v>
      </c>
      <c r="H168" s="65">
        <f>IF(B168 = "Smile", G168 + 'Over View'!$B$3, IF(B168 = "Bianco" , G168 + 'Over View'!$B$4, IF(B168 = "Giallo" , G168 + 'Over View'!$B$5, IF(B168 = "Blu" , G168 + 'Over View'!$B$6, IF(B168 = "Verde" , G168 + 'Over View'!$B$7, IF(B168 = "Rosso" , G168 + 'Over View'!$B$8, "Grado Non Inserito") )))))</f>
        <v>45790</v>
      </c>
      <c r="I168" s="66" t="b">
        <v>0</v>
      </c>
      <c r="J168" s="73" t="s">
        <v>15</v>
      </c>
      <c r="K168" s="72"/>
      <c r="L168" s="69" t="str">
        <f t="shared" si="1"/>
        <v>off set</v>
      </c>
    </row>
    <row r="169" ht="22.5" customHeight="1">
      <c r="A169" s="59">
        <v>168.0</v>
      </c>
      <c r="B169" s="60" t="s">
        <v>16</v>
      </c>
      <c r="C169" s="61">
        <v>3.0</v>
      </c>
      <c r="D169" s="60" t="s">
        <v>11</v>
      </c>
      <c r="E169" s="60" t="s">
        <v>28</v>
      </c>
      <c r="F169" s="60" t="s">
        <v>36</v>
      </c>
      <c r="G169" s="70">
        <v>45761.0</v>
      </c>
      <c r="H169" s="65">
        <f>IF(B169 = "Smile", G169 + 'Over View'!$B$3, IF(B169 = "Bianco" , G169 + 'Over View'!$B$4, IF(B169 = "Giallo" , G169 + 'Over View'!$B$5, IF(B169 = "Blu" , G169 + 'Over View'!$B$6, IF(B169 = "Verde" , G169 + 'Over View'!$B$7, IF(B169 = "Rosso" , G169 + 'Over View'!$B$8, "Grado Non Inserito") )))))</f>
        <v>45775</v>
      </c>
      <c r="I169" s="66" t="b">
        <v>0</v>
      </c>
      <c r="J169" s="73" t="s">
        <v>15</v>
      </c>
      <c r="K169" s="72"/>
      <c r="L169" s="69" t="str">
        <f t="shared" si="1"/>
        <v>off set</v>
      </c>
    </row>
    <row r="170" ht="22.5" customHeight="1">
      <c r="A170" s="59">
        <v>169.0</v>
      </c>
      <c r="B170" s="60" t="s">
        <v>21</v>
      </c>
      <c r="C170" s="61">
        <v>20.0</v>
      </c>
      <c r="D170" s="60" t="s">
        <v>31</v>
      </c>
      <c r="E170" s="60" t="s">
        <v>30</v>
      </c>
      <c r="F170" s="60" t="s">
        <v>14</v>
      </c>
      <c r="G170" s="70">
        <v>45760.0</v>
      </c>
      <c r="H170" s="65">
        <f>IF(B170 = "Smile", G170 + 'Over View'!$B$3, IF(B170 = "Bianco" , G170 + 'Over View'!$B$4, IF(B170 = "Giallo" , G170 + 'Over View'!$B$5, IF(B170 = "Blu" , G170 + 'Over View'!$B$6, IF(B170 = "Verde" , G170 + 'Over View'!$B$7, IF(B170 = "Rosso" , G170 + 'Over View'!$B$8, "Grado Non Inserito") )))))</f>
        <v>45774</v>
      </c>
      <c r="I170" s="66" t="b">
        <v>0</v>
      </c>
      <c r="J170" s="73" t="s">
        <v>15</v>
      </c>
      <c r="K170" s="72"/>
      <c r="L170" s="69" t="str">
        <f t="shared" si="1"/>
        <v>off set</v>
      </c>
    </row>
    <row r="171" ht="22.5" customHeight="1">
      <c r="A171" s="59">
        <v>170.0</v>
      </c>
      <c r="B171" s="60" t="s">
        <v>21</v>
      </c>
      <c r="C171" s="61">
        <v>14.0</v>
      </c>
      <c r="D171" s="60" t="s">
        <v>11</v>
      </c>
      <c r="E171" s="60" t="s">
        <v>30</v>
      </c>
      <c r="F171" s="60" t="s">
        <v>36</v>
      </c>
      <c r="G171" s="70">
        <v>45760.0</v>
      </c>
      <c r="H171" s="65">
        <f>IF(B171 = "Smile", G171 + 'Over View'!$B$3, IF(B171 = "Bianco" , G171 + 'Over View'!$B$4, IF(B171 = "Giallo" , G171 + 'Over View'!$B$5, IF(B171 = "Blu" , G171 + 'Over View'!$B$6, IF(B171 = "Verde" , G171 + 'Over View'!$B$7, IF(B171 = "Rosso" , G171 + 'Over View'!$B$8, "Grado Non Inserito") )))))</f>
        <v>45774</v>
      </c>
      <c r="I171" s="66" t="b">
        <v>0</v>
      </c>
      <c r="J171" s="73" t="s">
        <v>15</v>
      </c>
      <c r="K171" s="72"/>
      <c r="L171" s="69" t="str">
        <f t="shared" si="1"/>
        <v>off set</v>
      </c>
    </row>
    <row r="172" ht="22.5" customHeight="1">
      <c r="A172" s="59">
        <v>171.0</v>
      </c>
      <c r="B172" s="60" t="s">
        <v>18</v>
      </c>
      <c r="C172" s="61">
        <v>20.0</v>
      </c>
      <c r="D172" s="60" t="s">
        <v>12</v>
      </c>
      <c r="E172" s="60" t="s">
        <v>30</v>
      </c>
      <c r="F172" s="60" t="s">
        <v>36</v>
      </c>
      <c r="G172" s="70">
        <v>45760.0</v>
      </c>
      <c r="H172" s="65">
        <f>IF(B172 = "Smile", G172 + 'Over View'!$B$3, IF(B172 = "Bianco" , G172 + 'Over View'!$B$4, IF(B172 = "Giallo" , G172 + 'Over View'!$B$5, IF(B172 = "Blu" , G172 + 'Over View'!$B$6, IF(B172 = "Verde" , G172 + 'Over View'!$B$7, IF(B172 = "Rosso" , G172 + 'Over View'!$B$8, "Grado Non Inserito") )))))</f>
        <v>45790</v>
      </c>
      <c r="I172" s="66" t="b">
        <v>0</v>
      </c>
      <c r="J172" s="73" t="s">
        <v>15</v>
      </c>
      <c r="K172" s="72"/>
      <c r="L172" s="69" t="str">
        <f t="shared" si="1"/>
        <v>off set</v>
      </c>
    </row>
    <row r="173" ht="22.5" customHeight="1">
      <c r="A173" s="59">
        <v>172.0</v>
      </c>
      <c r="B173" s="60" t="s">
        <v>12</v>
      </c>
      <c r="C173" s="61">
        <v>6.0</v>
      </c>
      <c r="D173" s="60" t="s">
        <v>23</v>
      </c>
      <c r="E173" s="60" t="s">
        <v>30</v>
      </c>
      <c r="F173" s="60" t="s">
        <v>14</v>
      </c>
      <c r="G173" s="70">
        <v>45760.0</v>
      </c>
      <c r="H173" s="65">
        <f>IF(B173 = "Smile", G173 + 'Over View'!$B$3, IF(B173 = "Bianco" , G173 + 'Over View'!$B$4, IF(B173 = "Giallo" , G173 + 'Over View'!$B$5, IF(B173 = "Blu" , G173 + 'Over View'!$B$6, IF(B173 = "Verde" , G173 + 'Over View'!$B$7, IF(B173 = "Rosso" , G173 + 'Over View'!$B$8, "Grado Non Inserito") )))))</f>
        <v>45790</v>
      </c>
      <c r="I173" s="66" t="b">
        <v>0</v>
      </c>
      <c r="J173" s="73" t="s">
        <v>15</v>
      </c>
      <c r="K173" s="72"/>
      <c r="L173" s="69" t="str">
        <f t="shared" si="1"/>
        <v>off set</v>
      </c>
    </row>
    <row r="174" ht="22.5" customHeight="1">
      <c r="A174" s="59">
        <v>173.0</v>
      </c>
      <c r="B174" s="60" t="s">
        <v>11</v>
      </c>
      <c r="C174" s="61">
        <v>3.0</v>
      </c>
      <c r="D174" s="60" t="s">
        <v>11</v>
      </c>
      <c r="E174" s="60" t="s">
        <v>30</v>
      </c>
      <c r="F174" s="60" t="s">
        <v>40</v>
      </c>
      <c r="G174" s="70">
        <v>45760.0</v>
      </c>
      <c r="H174" s="65">
        <f>IF(B174 = "Smile", G174 + 'Over View'!$B$3, IF(B174 = "Bianco" , G174 + 'Over View'!$B$4, IF(B174 = "Giallo" , G174 + 'Over View'!$B$5, IF(B174 = "Blu" , G174 + 'Over View'!$B$6, IF(B174 = "Verde" , G174 + 'Over View'!$B$7, IF(B174 = "Rosso" , G174 + 'Over View'!$B$8, "Grado Non Inserito") )))))</f>
        <v>45781</v>
      </c>
      <c r="I174" s="66" t="b">
        <v>0</v>
      </c>
      <c r="J174" s="73" t="s">
        <v>15</v>
      </c>
      <c r="K174" s="72"/>
      <c r="L174" s="69" t="str">
        <f t="shared" si="1"/>
        <v>off set</v>
      </c>
    </row>
    <row r="175" ht="22.5" customHeight="1">
      <c r="A175" s="59">
        <v>174.0</v>
      </c>
      <c r="B175" s="60" t="s">
        <v>18</v>
      </c>
      <c r="C175" s="61">
        <v>4.0</v>
      </c>
      <c r="D175" s="60" t="s">
        <v>19</v>
      </c>
      <c r="E175" s="60" t="s">
        <v>32</v>
      </c>
      <c r="F175" s="60" t="s">
        <v>40</v>
      </c>
      <c r="G175" s="70">
        <v>45760.0</v>
      </c>
      <c r="H175" s="65">
        <f>IF(B175 = "Smile", G175 + 'Over View'!$B$3, IF(B175 = "Bianco" , G175 + 'Over View'!$B$4, IF(B175 = "Giallo" , G175 + 'Over View'!$B$5, IF(B175 = "Blu" , G175 + 'Over View'!$B$6, IF(B175 = "Verde" , G175 + 'Over View'!$B$7, IF(B175 = "Rosso" , G175 + 'Over View'!$B$8, "Grado Non Inserito") )))))</f>
        <v>45790</v>
      </c>
      <c r="I175" s="66" t="b">
        <v>0</v>
      </c>
      <c r="J175" s="73" t="s">
        <v>15</v>
      </c>
      <c r="K175" s="72"/>
      <c r="L175" s="69" t="str">
        <f t="shared" si="1"/>
        <v>off set</v>
      </c>
    </row>
    <row r="176" ht="22.5" customHeight="1">
      <c r="A176" s="59">
        <v>175.0</v>
      </c>
      <c r="B176" s="60" t="s">
        <v>11</v>
      </c>
      <c r="C176" s="61">
        <v>10.0</v>
      </c>
      <c r="D176" s="60" t="s">
        <v>18</v>
      </c>
      <c r="E176" s="60" t="s">
        <v>32</v>
      </c>
      <c r="F176" s="60" t="s">
        <v>24</v>
      </c>
      <c r="G176" s="70">
        <v>45760.0</v>
      </c>
      <c r="H176" s="65">
        <f>IF(B176 = "Smile", G176 + 'Over View'!$B$3, IF(B176 = "Bianco" , G176 + 'Over View'!$B$4, IF(B176 = "Giallo" , G176 + 'Over View'!$B$5, IF(B176 = "Blu" , G176 + 'Over View'!$B$6, IF(B176 = "Verde" , G176 + 'Over View'!$B$7, IF(B176 = "Rosso" , G176 + 'Over View'!$B$8, "Grado Non Inserito") )))))</f>
        <v>45781</v>
      </c>
      <c r="I176" s="66" t="b">
        <v>0</v>
      </c>
      <c r="J176" s="73" t="s">
        <v>15</v>
      </c>
      <c r="K176" s="72"/>
      <c r="L176" s="69" t="str">
        <f t="shared" si="1"/>
        <v>off set</v>
      </c>
    </row>
    <row r="177" ht="22.5" customHeight="1">
      <c r="A177" s="59">
        <v>176.0</v>
      </c>
      <c r="B177" s="60" t="s">
        <v>21</v>
      </c>
      <c r="C177" s="61">
        <v>2.0</v>
      </c>
      <c r="D177" s="60" t="s">
        <v>11</v>
      </c>
      <c r="E177" s="60" t="s">
        <v>32</v>
      </c>
      <c r="F177" s="60" t="s">
        <v>14</v>
      </c>
      <c r="G177" s="70">
        <v>45760.0</v>
      </c>
      <c r="H177" s="65">
        <f>IF(B177 = "Smile", G177 + 'Over View'!$B$3, IF(B177 = "Bianco" , G177 + 'Over View'!$B$4, IF(B177 = "Giallo" , G177 + 'Over View'!$B$5, IF(B177 = "Blu" , G177 + 'Over View'!$B$6, IF(B177 = "Verde" , G177 + 'Over View'!$B$7, IF(B177 = "Rosso" , G177 + 'Over View'!$B$8, "Grado Non Inserito") )))))</f>
        <v>45774</v>
      </c>
      <c r="I177" s="66" t="b">
        <v>0</v>
      </c>
      <c r="J177" s="73" t="s">
        <v>15</v>
      </c>
      <c r="K177" s="72"/>
      <c r="L177" s="69" t="str">
        <f t="shared" si="1"/>
        <v>off set</v>
      </c>
    </row>
    <row r="178" ht="22.5" customHeight="1">
      <c r="A178" s="59">
        <v>177.0</v>
      </c>
      <c r="B178" s="60" t="s">
        <v>18</v>
      </c>
      <c r="C178" s="61">
        <v>3.0</v>
      </c>
      <c r="D178" s="60" t="s">
        <v>29</v>
      </c>
      <c r="E178" s="60" t="s">
        <v>32</v>
      </c>
      <c r="F178" s="60" t="s">
        <v>36</v>
      </c>
      <c r="G178" s="70">
        <v>45760.0</v>
      </c>
      <c r="H178" s="65">
        <f>IF(B178 = "Smile", G178 + 'Over View'!$B$3, IF(B178 = "Bianco" , G178 + 'Over View'!$B$4, IF(B178 = "Giallo" , G178 + 'Over View'!$B$5, IF(B178 = "Blu" , G178 + 'Over View'!$B$6, IF(B178 = "Verde" , G178 + 'Over View'!$B$7, IF(B178 = "Rosso" , G178 + 'Over View'!$B$8, "Grado Non Inserito") )))))</f>
        <v>45790</v>
      </c>
      <c r="I178" s="66" t="b">
        <v>0</v>
      </c>
      <c r="J178" s="73" t="s">
        <v>15</v>
      </c>
      <c r="K178" s="72"/>
      <c r="L178" s="69" t="str">
        <f t="shared" si="1"/>
        <v>off set</v>
      </c>
    </row>
    <row r="179" ht="22.5" customHeight="1">
      <c r="A179" s="59">
        <v>178.0</v>
      </c>
      <c r="B179" s="60" t="s">
        <v>16</v>
      </c>
      <c r="C179" s="61">
        <v>1.0</v>
      </c>
      <c r="D179" s="60" t="s">
        <v>19</v>
      </c>
      <c r="E179" s="60" t="s">
        <v>32</v>
      </c>
      <c r="F179" s="60" t="s">
        <v>36</v>
      </c>
      <c r="G179" s="70">
        <v>45760.0</v>
      </c>
      <c r="H179" s="65">
        <f>IF(B179 = "Smile", G179 + 'Over View'!$B$3, IF(B179 = "Bianco" , G179 + 'Over View'!$B$4, IF(B179 = "Giallo" , G179 + 'Over View'!$B$5, IF(B179 = "Blu" , G179 + 'Over View'!$B$6, IF(B179 = "Verde" , G179 + 'Over View'!$B$7, IF(B179 = "Rosso" , G179 + 'Over View'!$B$8, "Grado Non Inserito") )))))</f>
        <v>45774</v>
      </c>
      <c r="I179" s="66" t="b">
        <v>0</v>
      </c>
      <c r="J179" s="73" t="s">
        <v>15</v>
      </c>
      <c r="K179" s="72"/>
      <c r="L179" s="69" t="str">
        <f t="shared" si="1"/>
        <v>off set</v>
      </c>
    </row>
    <row r="180" ht="22.5" customHeight="1">
      <c r="A180" s="59">
        <v>179.0</v>
      </c>
      <c r="B180" s="60" t="s">
        <v>12</v>
      </c>
      <c r="C180" s="61">
        <v>9.0</v>
      </c>
      <c r="D180" s="60" t="s">
        <v>12</v>
      </c>
      <c r="E180" s="60" t="s">
        <v>32</v>
      </c>
      <c r="F180" s="60" t="s">
        <v>40</v>
      </c>
      <c r="G180" s="70">
        <v>45760.0</v>
      </c>
      <c r="H180" s="65">
        <f>IF(B180 = "Smile", G180 + 'Over View'!$B$3, IF(B180 = "Bianco" , G180 + 'Over View'!$B$4, IF(B180 = "Giallo" , G180 + 'Over View'!$B$5, IF(B180 = "Blu" , G180 + 'Over View'!$B$6, IF(B180 = "Verde" , G180 + 'Over View'!$B$7, IF(B180 = "Rosso" , G180 + 'Over View'!$B$8, "Grado Non Inserito") )))))</f>
        <v>45790</v>
      </c>
      <c r="I180" s="66" t="b">
        <v>0</v>
      </c>
      <c r="J180" s="73" t="s">
        <v>15</v>
      </c>
      <c r="K180" s="72"/>
      <c r="L180" s="69" t="str">
        <f t="shared" si="1"/>
        <v>off set</v>
      </c>
    </row>
    <row r="181" ht="22.5" customHeight="1">
      <c r="A181" s="59">
        <v>180.0</v>
      </c>
      <c r="B181" s="60" t="s">
        <v>18</v>
      </c>
      <c r="C181" s="61">
        <v>19.0</v>
      </c>
      <c r="D181" s="60" t="s">
        <v>23</v>
      </c>
      <c r="E181" s="60" t="s">
        <v>32</v>
      </c>
      <c r="F181" s="60" t="s">
        <v>39</v>
      </c>
      <c r="G181" s="70">
        <v>45760.0</v>
      </c>
      <c r="H181" s="65">
        <f>IF(B181 = "Smile", G181 + 'Over View'!$B$3, IF(B181 = "Bianco" , G181 + 'Over View'!$B$4, IF(B181 = "Giallo" , G181 + 'Over View'!$B$5, IF(B181 = "Blu" , G181 + 'Over View'!$B$6, IF(B181 = "Verde" , G181 + 'Over View'!$B$7, IF(B181 = "Rosso" , G181 + 'Over View'!$B$8, "Grado Non Inserito") )))))</f>
        <v>45790</v>
      </c>
      <c r="I181" s="66" t="b">
        <v>0</v>
      </c>
      <c r="J181" s="73" t="s">
        <v>15</v>
      </c>
      <c r="K181" s="72"/>
      <c r="L181" s="69" t="str">
        <f t="shared" si="1"/>
        <v>off set</v>
      </c>
    </row>
    <row r="182" ht="22.5" customHeight="1">
      <c r="A182" s="59">
        <v>181.0</v>
      </c>
      <c r="B182" s="60" t="s">
        <v>16</v>
      </c>
      <c r="C182" s="61">
        <v>6.0</v>
      </c>
      <c r="D182" s="60" t="s">
        <v>12</v>
      </c>
      <c r="E182" s="60" t="s">
        <v>33</v>
      </c>
      <c r="F182" s="60" t="s">
        <v>39</v>
      </c>
      <c r="G182" s="70">
        <v>45760.0</v>
      </c>
      <c r="H182" s="65">
        <f>IF(B182 = "Smile", G182 + 'Over View'!$B$3, IF(B182 = "Bianco" , G182 + 'Over View'!$B$4, IF(B182 = "Giallo" , G182 + 'Over View'!$B$5, IF(B182 = "Blu" , G182 + 'Over View'!$B$6, IF(B182 = "Verde" , G182 + 'Over View'!$B$7, IF(B182 = "Rosso" , G182 + 'Over View'!$B$8, "Grado Non Inserito") )))))</f>
        <v>45774</v>
      </c>
      <c r="I182" s="66" t="b">
        <v>0</v>
      </c>
      <c r="J182" s="73" t="s">
        <v>15</v>
      </c>
      <c r="K182" s="72"/>
      <c r="L182" s="69" t="str">
        <f t="shared" si="1"/>
        <v>off set</v>
      </c>
    </row>
    <row r="183" ht="22.5" customHeight="1">
      <c r="A183" s="59">
        <v>182.0</v>
      </c>
      <c r="B183" s="60" t="s">
        <v>12</v>
      </c>
      <c r="C183" s="61">
        <v>18.0</v>
      </c>
      <c r="D183" s="60" t="s">
        <v>19</v>
      </c>
      <c r="E183" s="60" t="s">
        <v>33</v>
      </c>
      <c r="F183" s="60" t="s">
        <v>14</v>
      </c>
      <c r="G183" s="70">
        <v>45760.0</v>
      </c>
      <c r="H183" s="65">
        <f>IF(B183 = "Smile", G183 + 'Over View'!$B$3, IF(B183 = "Bianco" , G183 + 'Over View'!$B$4, IF(B183 = "Giallo" , G183 + 'Over View'!$B$5, IF(B183 = "Blu" , G183 + 'Over View'!$B$6, IF(B183 = "Verde" , G183 + 'Over View'!$B$7, IF(B183 = "Rosso" , G183 + 'Over View'!$B$8, "Grado Non Inserito") )))))</f>
        <v>45790</v>
      </c>
      <c r="I183" s="66" t="b">
        <v>0</v>
      </c>
      <c r="J183" s="73" t="s">
        <v>15</v>
      </c>
      <c r="K183" s="72"/>
      <c r="L183" s="69" t="str">
        <f t="shared" si="1"/>
        <v>off set</v>
      </c>
    </row>
    <row r="184" ht="22.5" customHeight="1">
      <c r="A184" s="59">
        <v>183.0</v>
      </c>
      <c r="B184" s="60" t="s">
        <v>21</v>
      </c>
      <c r="C184" s="61">
        <v>5.0</v>
      </c>
      <c r="D184" s="60" t="s">
        <v>11</v>
      </c>
      <c r="E184" s="60" t="s">
        <v>33</v>
      </c>
      <c r="F184" s="60" t="s">
        <v>40</v>
      </c>
      <c r="G184" s="70">
        <v>45760.0</v>
      </c>
      <c r="H184" s="65">
        <f>IF(B184 = "Smile", G184 + 'Over View'!$B$3, IF(B184 = "Bianco" , G184 + 'Over View'!$B$4, IF(B184 = "Giallo" , G184 + 'Over View'!$B$5, IF(B184 = "Blu" , G184 + 'Over View'!$B$6, IF(B184 = "Verde" , G184 + 'Over View'!$B$7, IF(B184 = "Rosso" , G184 + 'Over View'!$B$8, "Grado Non Inserito") )))))</f>
        <v>45774</v>
      </c>
      <c r="I184" s="66" t="b">
        <v>0</v>
      </c>
      <c r="J184" s="73" t="s">
        <v>15</v>
      </c>
      <c r="K184" s="72"/>
      <c r="L184" s="69" t="str">
        <f t="shared" si="1"/>
        <v>off set</v>
      </c>
    </row>
    <row r="185" ht="22.5" customHeight="1">
      <c r="A185" s="59">
        <v>184.0</v>
      </c>
      <c r="B185" s="60" t="s">
        <v>16</v>
      </c>
      <c r="C185" s="61">
        <v>2.0</v>
      </c>
      <c r="D185" s="60" t="s">
        <v>23</v>
      </c>
      <c r="E185" s="60" t="s">
        <v>33</v>
      </c>
      <c r="F185" s="60" t="s">
        <v>36</v>
      </c>
      <c r="G185" s="70">
        <v>45760.0</v>
      </c>
      <c r="H185" s="65">
        <f>IF(B185 = "Smile", G185 + 'Over View'!$B$3, IF(B185 = "Bianco" , G185 + 'Over View'!$B$4, IF(B185 = "Giallo" , G185 + 'Over View'!$B$5, IF(B185 = "Blu" , G185 + 'Over View'!$B$6, IF(B185 = "Verde" , G185 + 'Over View'!$B$7, IF(B185 = "Rosso" , G185 + 'Over View'!$B$8, "Grado Non Inserito") )))))</f>
        <v>45774</v>
      </c>
      <c r="I185" s="66" t="b">
        <v>0</v>
      </c>
      <c r="J185" s="73" t="s">
        <v>15</v>
      </c>
      <c r="K185" s="72"/>
      <c r="L185" s="69" t="str">
        <f t="shared" si="1"/>
        <v>off set</v>
      </c>
    </row>
    <row r="186" ht="22.5" customHeight="1">
      <c r="A186" s="59">
        <v>185.0</v>
      </c>
      <c r="B186" s="60" t="s">
        <v>18</v>
      </c>
      <c r="C186" s="61">
        <v>10.0</v>
      </c>
      <c r="D186" s="60" t="s">
        <v>19</v>
      </c>
      <c r="E186" s="60" t="s">
        <v>35</v>
      </c>
      <c r="F186" s="60" t="s">
        <v>37</v>
      </c>
      <c r="G186" s="70">
        <v>45760.0</v>
      </c>
      <c r="H186" s="65">
        <f>IF(B186 = "Smile", G186 + 'Over View'!$B$3, IF(B186 = "Bianco" , G186 + 'Over View'!$B$4, IF(B186 = "Giallo" , G186 + 'Over View'!$B$5, IF(B186 = "Blu" , G186 + 'Over View'!$B$6, IF(B186 = "Verde" , G186 + 'Over View'!$B$7, IF(B186 = "Rosso" , G186 + 'Over View'!$B$8, "Grado Non Inserito") )))))</f>
        <v>45790</v>
      </c>
      <c r="I186" s="66" t="b">
        <v>0</v>
      </c>
      <c r="J186" s="73" t="s">
        <v>15</v>
      </c>
      <c r="K186" s="72"/>
      <c r="L186" s="69" t="str">
        <f t="shared" si="1"/>
        <v>off set</v>
      </c>
    </row>
    <row r="187" ht="22.5" customHeight="1">
      <c r="A187" s="59">
        <v>186.0</v>
      </c>
      <c r="B187" s="60" t="s">
        <v>16</v>
      </c>
      <c r="C187" s="61">
        <v>7.0</v>
      </c>
      <c r="D187" s="60" t="s">
        <v>23</v>
      </c>
      <c r="E187" s="60" t="s">
        <v>35</v>
      </c>
      <c r="F187" s="60" t="s">
        <v>36</v>
      </c>
      <c r="G187" s="70">
        <v>45760.0</v>
      </c>
      <c r="H187" s="65">
        <f>IF(B187 = "Smile", G187 + 'Over View'!$B$3, IF(B187 = "Bianco" , G187 + 'Over View'!$B$4, IF(B187 = "Giallo" , G187 + 'Over View'!$B$5, IF(B187 = "Blu" , G187 + 'Over View'!$B$6, IF(B187 = "Verde" , G187 + 'Over View'!$B$7, IF(B187 = "Rosso" , G187 + 'Over View'!$B$8, "Grado Non Inserito") )))))</f>
        <v>45774</v>
      </c>
      <c r="I187" s="66" t="b">
        <v>0</v>
      </c>
      <c r="J187" s="73" t="s">
        <v>15</v>
      </c>
      <c r="K187" s="72"/>
      <c r="L187" s="69" t="str">
        <f t="shared" si="1"/>
        <v>off set</v>
      </c>
    </row>
    <row r="188" ht="22.5" customHeight="1">
      <c r="A188" s="59">
        <v>187.0</v>
      </c>
      <c r="B188" s="60" t="s">
        <v>12</v>
      </c>
      <c r="C188" s="61">
        <v>3.0</v>
      </c>
      <c r="D188" s="60" t="s">
        <v>18</v>
      </c>
      <c r="E188" s="60" t="s">
        <v>35</v>
      </c>
      <c r="F188" s="60" t="s">
        <v>39</v>
      </c>
      <c r="G188" s="70">
        <v>45760.0</v>
      </c>
      <c r="H188" s="65">
        <f>IF(B188 = "Smile", G188 + 'Over View'!$B$3, IF(B188 = "Bianco" , G188 + 'Over View'!$B$4, IF(B188 = "Giallo" , G188 + 'Over View'!$B$5, IF(B188 = "Blu" , G188 + 'Over View'!$B$6, IF(B188 = "Verde" , G188 + 'Over View'!$B$7, IF(B188 = "Rosso" , G188 + 'Over View'!$B$8, "Grado Non Inserito") )))))</f>
        <v>45790</v>
      </c>
      <c r="I188" s="66" t="b">
        <v>0</v>
      </c>
      <c r="J188" s="73" t="s">
        <v>15</v>
      </c>
      <c r="K188" s="72"/>
      <c r="L188" s="69" t="str">
        <f t="shared" si="1"/>
        <v>off set</v>
      </c>
    </row>
    <row r="189" ht="22.5" customHeight="1">
      <c r="A189" s="59">
        <v>188.0</v>
      </c>
      <c r="B189" s="60" t="s">
        <v>18</v>
      </c>
      <c r="C189" s="61">
        <v>16.0</v>
      </c>
      <c r="D189" s="60" t="s">
        <v>27</v>
      </c>
      <c r="E189" s="60" t="s">
        <v>38</v>
      </c>
      <c r="F189" s="60" t="s">
        <v>14</v>
      </c>
      <c r="G189" s="70">
        <v>45760.0</v>
      </c>
      <c r="H189" s="65">
        <f>IF(B189 = "Smile", G189 + 'Over View'!$B$3, IF(B189 = "Bianco" , G189 + 'Over View'!$B$4, IF(B189 = "Giallo" , G189 + 'Over View'!$B$5, IF(B189 = "Blu" , G189 + 'Over View'!$B$6, IF(B189 = "Verde" , G189 + 'Over View'!$B$7, IF(B189 = "Rosso" , G189 + 'Over View'!$B$8, "Grado Non Inserito") )))))</f>
        <v>45790</v>
      </c>
      <c r="I189" s="66" t="b">
        <v>0</v>
      </c>
      <c r="J189" s="73" t="s">
        <v>15</v>
      </c>
      <c r="K189" s="72"/>
      <c r="L189" s="69" t="str">
        <f t="shared" si="1"/>
        <v>off set</v>
      </c>
    </row>
    <row r="190" ht="22.5" customHeight="1">
      <c r="A190" s="59">
        <v>189.0</v>
      </c>
      <c r="B190" s="60" t="s">
        <v>12</v>
      </c>
      <c r="C190" s="61">
        <v>2.0</v>
      </c>
      <c r="D190" s="60" t="s">
        <v>11</v>
      </c>
      <c r="E190" s="60" t="s">
        <v>38</v>
      </c>
      <c r="F190" s="60" t="s">
        <v>14</v>
      </c>
      <c r="G190" s="70">
        <v>45760.0</v>
      </c>
      <c r="H190" s="65">
        <f>IF(B190 = "Smile", G190 + 'Over View'!$B$3, IF(B190 = "Bianco" , G190 + 'Over View'!$B$4, IF(B190 = "Giallo" , G190 + 'Over View'!$B$5, IF(B190 = "Blu" , G190 + 'Over View'!$B$6, IF(B190 = "Verde" , G190 + 'Over View'!$B$7, IF(B190 = "Rosso" , G190 + 'Over View'!$B$8, "Grado Non Inserito") )))))</f>
        <v>45790</v>
      </c>
      <c r="I190" s="66" t="b">
        <v>0</v>
      </c>
      <c r="J190" s="73" t="s">
        <v>15</v>
      </c>
      <c r="K190" s="72"/>
      <c r="L190" s="69" t="str">
        <f t="shared" si="1"/>
        <v>off set</v>
      </c>
    </row>
    <row r="191" ht="22.5" customHeight="1">
      <c r="A191" s="59">
        <v>190.0</v>
      </c>
      <c r="B191" s="60" t="s">
        <v>18</v>
      </c>
      <c r="C191" s="61">
        <v>18.0</v>
      </c>
      <c r="D191" s="60" t="s">
        <v>12</v>
      </c>
      <c r="E191" s="60" t="s">
        <v>38</v>
      </c>
      <c r="F191" s="60" t="s">
        <v>24</v>
      </c>
      <c r="G191" s="70">
        <v>45760.0</v>
      </c>
      <c r="H191" s="65">
        <f>IF(B191 = "Smile", G191 + 'Over View'!$B$3, IF(B191 = "Bianco" , G191 + 'Over View'!$B$4, IF(B191 = "Giallo" , G191 + 'Over View'!$B$5, IF(B191 = "Blu" , G191 + 'Over View'!$B$6, IF(B191 = "Verde" , G191 + 'Over View'!$B$7, IF(B191 = "Rosso" , G191 + 'Over View'!$B$8, "Grado Non Inserito") )))))</f>
        <v>45790</v>
      </c>
      <c r="I191" s="66" t="b">
        <v>0</v>
      </c>
      <c r="J191" s="73" t="s">
        <v>15</v>
      </c>
      <c r="K191" s="72"/>
      <c r="L191" s="69" t="str">
        <f t="shared" si="1"/>
        <v>off set</v>
      </c>
    </row>
    <row r="192" ht="22.5" customHeight="1">
      <c r="A192" s="59">
        <v>191.0</v>
      </c>
      <c r="B192" s="60" t="s">
        <v>12</v>
      </c>
      <c r="C192" s="61">
        <v>6.0</v>
      </c>
      <c r="D192" s="60" t="s">
        <v>18</v>
      </c>
      <c r="E192" s="60" t="s">
        <v>38</v>
      </c>
      <c r="F192" s="60" t="s">
        <v>40</v>
      </c>
      <c r="G192" s="70">
        <v>45760.0</v>
      </c>
      <c r="H192" s="65">
        <f>IF(B192 = "Smile", G192 + 'Over View'!$B$3, IF(B192 = "Bianco" , G192 + 'Over View'!$B$4, IF(B192 = "Giallo" , G192 + 'Over View'!$B$5, IF(B192 = "Blu" , G192 + 'Over View'!$B$6, IF(B192 = "Verde" , G192 + 'Over View'!$B$7, IF(B192 = "Rosso" , G192 + 'Over View'!$B$8, "Grado Non Inserito") )))))</f>
        <v>45790</v>
      </c>
      <c r="I192" s="66" t="b">
        <v>0</v>
      </c>
      <c r="J192" s="73" t="s">
        <v>15</v>
      </c>
      <c r="K192" s="72"/>
      <c r="L192" s="69" t="str">
        <f t="shared" si="1"/>
        <v>off set</v>
      </c>
    </row>
    <row r="193" ht="22.5" customHeight="1">
      <c r="A193" s="59">
        <v>192.0</v>
      </c>
      <c r="B193" s="60" t="s">
        <v>21</v>
      </c>
      <c r="C193" s="74"/>
      <c r="D193" s="60" t="s">
        <v>62</v>
      </c>
      <c r="E193" s="60" t="s">
        <v>32</v>
      </c>
      <c r="F193" s="60" t="s">
        <v>37</v>
      </c>
      <c r="G193" s="70">
        <v>45764.0</v>
      </c>
      <c r="H193" s="65">
        <f>IF(B193 = "Smile", G193 + 'Over View'!$B$3, IF(B193 = "Bianco" , G193 + 'Over View'!$B$4, IF(B193 = "Giallo" , G193 + 'Over View'!$B$5, IF(B193 = "Blu" , G193 + 'Over View'!$B$6, IF(B193 = "Verde" , G193 + 'Over View'!$B$7, IF(B193 = "Rosso" , G193 + 'Over View'!$B$8, "Grado Non Inserito") )))))</f>
        <v>45778</v>
      </c>
      <c r="I193" s="66" t="b">
        <v>0</v>
      </c>
      <c r="J193" s="73" t="s">
        <v>15</v>
      </c>
      <c r="K193" s="72"/>
      <c r="L193" s="69" t="str">
        <f t="shared" si="1"/>
        <v>off set</v>
      </c>
    </row>
    <row r="194" ht="22.5" customHeight="1">
      <c r="A194" s="59">
        <v>193.0</v>
      </c>
      <c r="B194" s="60" t="s">
        <v>21</v>
      </c>
      <c r="C194" s="74"/>
      <c r="D194" s="60" t="s">
        <v>12</v>
      </c>
      <c r="E194" s="60" t="s">
        <v>13</v>
      </c>
      <c r="F194" s="60" t="s">
        <v>37</v>
      </c>
      <c r="G194" s="70">
        <v>45764.0</v>
      </c>
      <c r="H194" s="65">
        <f>IF(B194 = "Smile", G194 + 'Over View'!$B$3, IF(B194 = "Bianco" , G194 + 'Over View'!$B$4, IF(B194 = "Giallo" , G194 + 'Over View'!$B$5, IF(B194 = "Blu" , G194 + 'Over View'!$B$6, IF(B194 = "Verde" , G194 + 'Over View'!$B$7, IF(B194 = "Rosso" , G194 + 'Over View'!$B$8, "Grado Non Inserito") )))))</f>
        <v>45778</v>
      </c>
      <c r="I194" s="66" t="b">
        <v>0</v>
      </c>
      <c r="J194" s="73" t="s">
        <v>15</v>
      </c>
      <c r="K194" s="72"/>
      <c r="L194" s="69" t="str">
        <f t="shared" si="1"/>
        <v>off set</v>
      </c>
    </row>
    <row r="195" ht="22.5" customHeight="1">
      <c r="A195" s="59">
        <v>194.0</v>
      </c>
      <c r="B195" s="60" t="s">
        <v>23</v>
      </c>
      <c r="C195" s="74"/>
      <c r="D195" s="60" t="s">
        <v>19</v>
      </c>
      <c r="E195" s="60" t="s">
        <v>38</v>
      </c>
      <c r="F195" s="60" t="s">
        <v>36</v>
      </c>
      <c r="G195" s="70">
        <v>45764.0</v>
      </c>
      <c r="H195" s="65">
        <f>IF(B195 = "Smile", G195 + 'Over View'!$B$3, IF(B195 = "Bianco" , G195 + 'Over View'!$B$4, IF(B195 = "Giallo" , G195 + 'Over View'!$B$5, IF(B195 = "Blu" , G195 + 'Over View'!$B$6, IF(B195 = "Verde" , G195 + 'Over View'!$B$7, IF(B195 = "Rosso" , G195 + 'Over View'!$B$8, "Grado Non Inserito") )))))</f>
        <v>45785</v>
      </c>
      <c r="I195" s="66" t="b">
        <v>0</v>
      </c>
      <c r="J195" s="73" t="s">
        <v>15</v>
      </c>
      <c r="K195" s="72"/>
      <c r="L195" s="69" t="str">
        <f t="shared" si="1"/>
        <v>off set</v>
      </c>
    </row>
    <row r="196" ht="22.5" customHeight="1">
      <c r="A196" s="59">
        <v>195.0</v>
      </c>
      <c r="B196" s="60" t="s">
        <v>12</v>
      </c>
      <c r="C196" s="74"/>
      <c r="D196" s="60" t="s">
        <v>25</v>
      </c>
      <c r="E196" s="60" t="s">
        <v>30</v>
      </c>
      <c r="F196" s="60" t="s">
        <v>24</v>
      </c>
      <c r="G196" s="70">
        <v>45784.0</v>
      </c>
      <c r="H196" s="65">
        <f>IF(B196 = "Smile", G196 + 'Over View'!$B$3, IF(B196 = "Bianco" , G196 + 'Over View'!$B$4, IF(B196 = "Giallo" , G196 + 'Over View'!$B$5, IF(B196 = "Blu" , G196 + 'Over View'!$B$6, IF(B196 = "Verde" , G196 + 'Over View'!$B$7, IF(B196 = "Rosso" , G196 + 'Over View'!$B$8, "Grado Non Inserito") )))))</f>
        <v>45814</v>
      </c>
      <c r="I196" s="66" t="b">
        <v>0</v>
      </c>
      <c r="J196" s="73" t="s">
        <v>15</v>
      </c>
      <c r="K196" s="72"/>
      <c r="L196" s="69" t="str">
        <f t="shared" si="1"/>
        <v>off set</v>
      </c>
    </row>
    <row r="197" ht="22.5" customHeight="1">
      <c r="A197" s="59">
        <v>196.0</v>
      </c>
      <c r="B197" s="60" t="s">
        <v>16</v>
      </c>
      <c r="C197" s="74"/>
      <c r="D197" s="60" t="s">
        <v>25</v>
      </c>
      <c r="E197" s="60" t="s">
        <v>28</v>
      </c>
      <c r="F197" s="60" t="s">
        <v>24</v>
      </c>
      <c r="G197" s="70">
        <v>45784.0</v>
      </c>
      <c r="H197" s="65">
        <f>IF(B197 = "Smile", G197 + 'Over View'!$B$3, IF(B197 = "Bianco" , G197 + 'Over View'!$B$4, IF(B197 = "Giallo" , G197 + 'Over View'!$B$5, IF(B197 = "Blu" , G197 + 'Over View'!$B$6, IF(B197 = "Verde" , G197 + 'Over View'!$B$7, IF(B197 = "Rosso" , G197 + 'Over View'!$B$8, "Grado Non Inserito") )))))</f>
        <v>45798</v>
      </c>
      <c r="I197" s="66" t="b">
        <v>0</v>
      </c>
      <c r="J197" s="73" t="s">
        <v>15</v>
      </c>
      <c r="K197" s="72"/>
      <c r="L197" s="69" t="str">
        <f t="shared" si="1"/>
        <v>off set</v>
      </c>
    </row>
    <row r="198" ht="22.5" customHeight="1">
      <c r="A198" s="59">
        <v>197.0</v>
      </c>
      <c r="B198" s="60" t="s">
        <v>21</v>
      </c>
      <c r="C198" s="74"/>
      <c r="D198" s="60" t="s">
        <v>23</v>
      </c>
      <c r="E198" s="60" t="s">
        <v>28</v>
      </c>
      <c r="F198" s="60" t="s">
        <v>24</v>
      </c>
      <c r="G198" s="70">
        <v>45784.0</v>
      </c>
      <c r="H198" s="65">
        <f>IF(B198 = "Smile", G198 + 'Over View'!$B$3, IF(B198 = "Bianco" , G198 + 'Over View'!$B$4, IF(B198 = "Giallo" , G198 + 'Over View'!$B$5, IF(B198 = "Blu" , G198 + 'Over View'!$B$6, IF(B198 = "Verde" , G198 + 'Over View'!$B$7, IF(B198 = "Rosso" , G198 + 'Over View'!$B$8, "Grado Non Inserito") )))))</f>
        <v>45798</v>
      </c>
      <c r="I198" s="66" t="b">
        <v>0</v>
      </c>
      <c r="J198" s="73" t="s">
        <v>15</v>
      </c>
      <c r="K198" s="72"/>
      <c r="L198" s="69" t="str">
        <f t="shared" si="1"/>
        <v>off set</v>
      </c>
    </row>
    <row r="199" ht="22.5" customHeight="1">
      <c r="A199" s="59">
        <v>198.0</v>
      </c>
      <c r="B199" s="60" t="s">
        <v>18</v>
      </c>
      <c r="C199" s="61">
        <v>16.0</v>
      </c>
      <c r="D199" s="60" t="s">
        <v>11</v>
      </c>
      <c r="E199" s="60" t="s">
        <v>32</v>
      </c>
      <c r="F199" s="60" t="s">
        <v>40</v>
      </c>
      <c r="G199" s="70">
        <v>45789.0</v>
      </c>
      <c r="H199" s="65">
        <f>IF(B199 = "Smile", G199 + 'Over View'!$B$3, IF(B199 = "Bianco" , G199 + 'Over View'!$B$4, IF(B199 = "Giallo" , G199 + 'Over View'!$B$5, IF(B199 = "Blu" , G199 + 'Over View'!$B$6, IF(B199 = "Verde" , G199 + 'Over View'!$B$7, IF(B199 = "Rosso" , G199 + 'Over View'!$B$8, "Grado Non Inserito") )))))</f>
        <v>45819</v>
      </c>
      <c r="I199" s="66" t="b">
        <v>0</v>
      </c>
      <c r="J199" s="71"/>
      <c r="K199" s="72"/>
      <c r="L199" s="69" t="str">
        <f t="shared" si="1"/>
        <v>off set</v>
      </c>
    </row>
    <row r="200" ht="22.5" customHeight="1">
      <c r="A200" s="59">
        <v>199.0</v>
      </c>
      <c r="B200" s="60" t="s">
        <v>12</v>
      </c>
      <c r="C200" s="61">
        <v>8.0</v>
      </c>
      <c r="D200" s="60" t="s">
        <v>11</v>
      </c>
      <c r="E200" s="60" t="s">
        <v>32</v>
      </c>
      <c r="F200" s="60" t="s">
        <v>40</v>
      </c>
      <c r="G200" s="70">
        <v>45789.0</v>
      </c>
      <c r="H200" s="65">
        <f>IF(B200 = "Smile", G200 + 'Over View'!$B$3, IF(B200 = "Bianco" , G200 + 'Over View'!$B$4, IF(B200 = "Giallo" , G200 + 'Over View'!$B$5, IF(B200 = "Blu" , G200 + 'Over View'!$B$6, IF(B200 = "Verde" , G200 + 'Over View'!$B$7, IF(B200 = "Rosso" , G200 + 'Over View'!$B$8, "Grado Non Inserito") )))))</f>
        <v>45819</v>
      </c>
      <c r="I200" s="66" t="b">
        <v>0</v>
      </c>
      <c r="J200" s="73" t="s">
        <v>41</v>
      </c>
      <c r="K200" s="72"/>
      <c r="L200" s="69" t="str">
        <f t="shared" si="1"/>
        <v>off set</v>
      </c>
    </row>
    <row r="201" ht="22.5" customHeight="1">
      <c r="A201" s="59">
        <v>200.0</v>
      </c>
      <c r="B201" s="60" t="s">
        <v>11</v>
      </c>
      <c r="C201" s="61">
        <v>4.0</v>
      </c>
      <c r="D201" s="60" t="s">
        <v>18</v>
      </c>
      <c r="E201" s="60" t="s">
        <v>20</v>
      </c>
      <c r="F201" s="60" t="s">
        <v>40</v>
      </c>
      <c r="G201" s="70">
        <v>45789.0</v>
      </c>
      <c r="H201" s="65">
        <f>IF(B201 = "Smile", G201 + 'Over View'!$B$3, IF(B201 = "Bianco" , G201 + 'Over View'!$B$4, IF(B201 = "Giallo" , G201 + 'Over View'!$B$5, IF(B201 = "Blu" , G201 + 'Over View'!$B$6, IF(B201 = "Verde" , G201 + 'Over View'!$B$7, IF(B201 = "Rosso" , G201 + 'Over View'!$B$8, "Grado Non Inserito") )))))</f>
        <v>45810</v>
      </c>
      <c r="I201" s="66" t="b">
        <v>0</v>
      </c>
      <c r="J201" s="73" t="s">
        <v>41</v>
      </c>
      <c r="K201" s="72"/>
      <c r="L201" s="69" t="str">
        <f t="shared" si="1"/>
        <v>off set</v>
      </c>
    </row>
    <row r="202" ht="22.5" customHeight="1">
      <c r="A202" s="59">
        <v>201.0</v>
      </c>
      <c r="B202" s="60" t="s">
        <v>21</v>
      </c>
      <c r="C202" s="61">
        <v>11.0</v>
      </c>
      <c r="D202" s="60" t="s">
        <v>11</v>
      </c>
      <c r="E202" s="60" t="s">
        <v>13</v>
      </c>
      <c r="F202" s="60" t="s">
        <v>40</v>
      </c>
      <c r="G202" s="70">
        <v>45789.0</v>
      </c>
      <c r="H202" s="65">
        <f>IF(B202 = "Smile", G202 + 'Over View'!$B$3, IF(B202 = "Bianco" , G202 + 'Over View'!$B$4, IF(B202 = "Giallo" , G202 + 'Over View'!$B$5, IF(B202 = "Blu" , G202 + 'Over View'!$B$6, IF(B202 = "Verde" , G202 + 'Over View'!$B$7, IF(B202 = "Rosso" , G202 + 'Over View'!$B$8, "Grado Non Inserito") )))))</f>
        <v>45803</v>
      </c>
      <c r="I202" s="66" t="b">
        <v>0</v>
      </c>
      <c r="J202" s="73" t="s">
        <v>41</v>
      </c>
      <c r="K202" s="72"/>
      <c r="L202" s="69" t="str">
        <f t="shared" si="1"/>
        <v>off set</v>
      </c>
    </row>
    <row r="203" ht="22.5" customHeight="1">
      <c r="A203" s="59">
        <v>202.0</v>
      </c>
      <c r="B203" s="60" t="s">
        <v>16</v>
      </c>
      <c r="C203" s="61">
        <v>15.0</v>
      </c>
      <c r="D203" s="60" t="s">
        <v>63</v>
      </c>
      <c r="E203" s="60" t="s">
        <v>32</v>
      </c>
      <c r="F203" s="60" t="s">
        <v>40</v>
      </c>
      <c r="G203" s="70">
        <v>45789.0</v>
      </c>
      <c r="H203" s="65">
        <f>IF(B203 = "Smile", G203 + 'Over View'!$B$3, IF(B203 = "Bianco" , G203 + 'Over View'!$B$4, IF(B203 = "Giallo" , G203 + 'Over View'!$B$5, IF(B203 = "Blu" , G203 + 'Over View'!$B$6, IF(B203 = "Verde" , G203 + 'Over View'!$B$7, IF(B203 = "Rosso" , G203 + 'Over View'!$B$8, "Grado Non Inserito") )))))</f>
        <v>45803</v>
      </c>
      <c r="I203" s="66" t="b">
        <v>0</v>
      </c>
      <c r="J203" s="71"/>
      <c r="K203" s="72"/>
      <c r="L203" s="69" t="str">
        <f t="shared" si="1"/>
        <v>off set</v>
      </c>
    </row>
    <row r="204" ht="22.5" customHeight="1">
      <c r="A204" s="59">
        <v>203.0</v>
      </c>
      <c r="B204" s="60" t="s">
        <v>16</v>
      </c>
      <c r="C204" s="61">
        <v>11.0</v>
      </c>
      <c r="D204" s="60" t="s">
        <v>64</v>
      </c>
      <c r="E204" s="60" t="s">
        <v>20</v>
      </c>
      <c r="F204" s="60" t="s">
        <v>24</v>
      </c>
      <c r="G204" s="70">
        <v>45792.0</v>
      </c>
      <c r="H204" s="65">
        <f>IF(B204 = "Smile", G204 + 'Over View'!$B$3, IF(B204 = "Bianco" , G204 + 'Over View'!$B$4, IF(B204 = "Giallo" , G204 + 'Over View'!$B$5, IF(B204 = "Blu" , G204 + 'Over View'!$B$6, IF(B204 = "Verde" , G204 + 'Over View'!$B$7, IF(B204 = "Rosso" , G204 + 'Over View'!$B$8, "Grado Non Inserito") )))))</f>
        <v>45806</v>
      </c>
      <c r="I204" s="66" t="b">
        <v>0</v>
      </c>
      <c r="J204" s="73" t="s">
        <v>15</v>
      </c>
      <c r="K204" s="72"/>
      <c r="L204" s="69" t="str">
        <f t="shared" si="1"/>
        <v>off set</v>
      </c>
    </row>
    <row r="205" ht="22.5" customHeight="1">
      <c r="A205" s="59">
        <v>204.0</v>
      </c>
      <c r="B205" s="60" t="s">
        <v>21</v>
      </c>
      <c r="C205" s="61">
        <v>4.0</v>
      </c>
      <c r="D205" s="60" t="s">
        <v>19</v>
      </c>
      <c r="E205" s="60" t="s">
        <v>35</v>
      </c>
      <c r="F205" s="60" t="s">
        <v>24</v>
      </c>
      <c r="G205" s="70">
        <v>45792.0</v>
      </c>
      <c r="H205" s="65">
        <f>IF(B205 = "Smile", G205 + 'Over View'!$B$3, IF(B205 = "Bianco" , G205 + 'Over View'!$B$4, IF(B205 = "Giallo" , G205 + 'Over View'!$B$5, IF(B205 = "Blu" , G205 + 'Over View'!$B$6, IF(B205 = "Verde" , G205 + 'Over View'!$B$7, IF(B205 = "Rosso" , G205 + 'Over View'!$B$8, "Grado Non Inserito") )))))</f>
        <v>45806</v>
      </c>
      <c r="I205" s="66" t="b">
        <v>0</v>
      </c>
      <c r="J205" s="73" t="s">
        <v>15</v>
      </c>
      <c r="K205" s="72"/>
      <c r="L205" s="69" t="str">
        <f t="shared" si="1"/>
        <v>off set</v>
      </c>
    </row>
    <row r="206" ht="22.5" customHeight="1">
      <c r="A206" s="59">
        <v>205.0</v>
      </c>
      <c r="B206" s="60" t="s">
        <v>21</v>
      </c>
      <c r="C206" s="61">
        <v>16.0</v>
      </c>
      <c r="D206" s="60" t="s">
        <v>18</v>
      </c>
      <c r="E206" s="60" t="s">
        <v>33</v>
      </c>
      <c r="F206" s="60" t="s">
        <v>24</v>
      </c>
      <c r="G206" s="70">
        <v>45792.0</v>
      </c>
      <c r="H206" s="65">
        <f>IF(B206 = "Smile", G206 + 'Over View'!$B$3, IF(B206 = "Bianco" , G206 + 'Over View'!$B$4, IF(B206 = "Giallo" , G206 + 'Over View'!$B$5, IF(B206 = "Blu" , G206 + 'Over View'!$B$6, IF(B206 = "Verde" , G206 + 'Over View'!$B$7, IF(B206 = "Rosso" , G206 + 'Over View'!$B$8, "Grado Non Inserito") )))))</f>
        <v>45806</v>
      </c>
      <c r="I206" s="66" t="b">
        <v>0</v>
      </c>
      <c r="J206" s="73" t="s">
        <v>15</v>
      </c>
      <c r="K206" s="72"/>
      <c r="L206" s="69" t="str">
        <f t="shared" si="1"/>
        <v>off set</v>
      </c>
    </row>
    <row r="207" ht="22.5" customHeight="1">
      <c r="A207" s="59">
        <v>206.0</v>
      </c>
      <c r="B207" s="60" t="s">
        <v>18</v>
      </c>
      <c r="C207" s="61">
        <v>12.0</v>
      </c>
      <c r="D207" s="60" t="s">
        <v>12</v>
      </c>
      <c r="E207" s="60" t="s">
        <v>35</v>
      </c>
      <c r="F207" s="60" t="s">
        <v>24</v>
      </c>
      <c r="G207" s="70">
        <v>45792.0</v>
      </c>
      <c r="H207" s="65">
        <f>IF(B207 = "Smile", G207 + 'Over View'!$B$3, IF(B207 = "Bianco" , G207 + 'Over View'!$B$4, IF(B207 = "Giallo" , G207 + 'Over View'!$B$5, IF(B207 = "Blu" , G207 + 'Over View'!$B$6, IF(B207 = "Verde" , G207 + 'Over View'!$B$7, IF(B207 = "Rosso" , G207 + 'Over View'!$B$8, "Grado Non Inserito") )))))</f>
        <v>45822</v>
      </c>
      <c r="I207" s="66" t="b">
        <v>0</v>
      </c>
      <c r="J207" s="73" t="s">
        <v>15</v>
      </c>
      <c r="K207" s="72"/>
      <c r="L207" s="69" t="str">
        <f t="shared" si="1"/>
        <v>off set</v>
      </c>
    </row>
    <row r="208" ht="22.5" customHeight="1">
      <c r="A208" s="59">
        <v>207.0</v>
      </c>
      <c r="B208" s="60" t="s">
        <v>11</v>
      </c>
      <c r="C208" s="61">
        <v>5.0</v>
      </c>
      <c r="D208" s="60" t="s">
        <v>11</v>
      </c>
      <c r="E208" s="60" t="s">
        <v>38</v>
      </c>
      <c r="F208" s="60" t="s">
        <v>14</v>
      </c>
      <c r="G208" s="70">
        <v>45804.0</v>
      </c>
      <c r="H208" s="65">
        <f>IF(B208 = "Smile", G208 + 'Over View'!$B$3, IF(B208 = "Bianco" , G208 + 'Over View'!$B$4, IF(B208 = "Giallo" , G208 + 'Over View'!$B$5, IF(B208 = "Blu" , G208 + 'Over View'!$B$6, IF(B208 = "Verde" , G208 + 'Over View'!$B$7, IF(B208 = "Rosso" , G208 + 'Over View'!$B$8, "Grado Non Inserito") )))))</f>
        <v>45825</v>
      </c>
      <c r="I208" s="66" t="b">
        <v>0</v>
      </c>
      <c r="J208" s="73" t="s">
        <v>15</v>
      </c>
      <c r="K208" s="72"/>
      <c r="L208" s="69" t="str">
        <f t="shared" si="1"/>
        <v>off set</v>
      </c>
    </row>
    <row r="209" ht="22.5" customHeight="1">
      <c r="A209" s="59">
        <v>208.0</v>
      </c>
      <c r="B209" s="60" t="s">
        <v>12</v>
      </c>
      <c r="C209" s="61">
        <v>6.0</v>
      </c>
      <c r="D209" s="60" t="s">
        <v>19</v>
      </c>
      <c r="E209" s="60" t="s">
        <v>30</v>
      </c>
      <c r="F209" s="60" t="s">
        <v>40</v>
      </c>
      <c r="G209" s="70">
        <v>45818.0</v>
      </c>
      <c r="H209" s="65">
        <f>IF(B209 = "Smile", G209 + 'Over View'!$B$3, IF(B209 = "Bianco" , G209 + 'Over View'!$B$4, IF(B209 = "Giallo" , G209 + 'Over View'!$B$5, IF(B209 = "Blu" , G209 + 'Over View'!$B$6, IF(B209 = "Verde" , G209 + 'Over View'!$B$7, IF(B209 = "Rosso" , G209 + 'Over View'!$B$8, "Grado Non Inserito") )))))</f>
        <v>45848</v>
      </c>
      <c r="I209" s="66" t="b">
        <v>0</v>
      </c>
      <c r="J209" s="73" t="s">
        <v>41</v>
      </c>
      <c r="K209" s="72"/>
      <c r="L209" s="69" t="str">
        <f t="shared" si="1"/>
        <v>off set</v>
      </c>
    </row>
    <row r="210" ht="22.5" customHeight="1">
      <c r="A210" s="59">
        <v>209.0</v>
      </c>
      <c r="B210" s="60" t="s">
        <v>12</v>
      </c>
      <c r="C210" s="61">
        <v>7.0</v>
      </c>
      <c r="D210" s="60" t="s">
        <v>19</v>
      </c>
      <c r="E210" s="60" t="s">
        <v>30</v>
      </c>
      <c r="F210" s="60" t="s">
        <v>40</v>
      </c>
      <c r="G210" s="70">
        <v>45818.0</v>
      </c>
      <c r="H210" s="65">
        <f>IF(B210 = "Smile", G210 + 'Over View'!$B$3, IF(B210 = "Bianco" , G210 + 'Over View'!$B$4, IF(B210 = "Giallo" , G210 + 'Over View'!$B$5, IF(B210 = "Blu" , G210 + 'Over View'!$B$6, IF(B210 = "Verde" , G210 + 'Over View'!$B$7, IF(B210 = "Rosso" , G210 + 'Over View'!$B$8, "Grado Non Inserito") )))))</f>
        <v>45848</v>
      </c>
      <c r="I210" s="66" t="b">
        <v>0</v>
      </c>
      <c r="J210" s="73" t="s">
        <v>41</v>
      </c>
      <c r="K210" s="72"/>
      <c r="L210" s="69" t="str">
        <f t="shared" si="1"/>
        <v>off set</v>
      </c>
    </row>
    <row r="211" ht="22.5" customHeight="1">
      <c r="A211" s="59">
        <v>210.0</v>
      </c>
      <c r="B211" s="60" t="s">
        <v>18</v>
      </c>
      <c r="C211" s="61">
        <v>2.0</v>
      </c>
      <c r="D211" s="60" t="s">
        <v>19</v>
      </c>
      <c r="E211" s="60" t="s">
        <v>28</v>
      </c>
      <c r="F211" s="60" t="s">
        <v>40</v>
      </c>
      <c r="G211" s="70">
        <v>45818.0</v>
      </c>
      <c r="H211" s="65">
        <f>IF(B211 = "Smile", G211 + 'Over View'!$B$3, IF(B211 = "Bianco" , G211 + 'Over View'!$B$4, IF(B211 = "Giallo" , G211 + 'Over View'!$B$5, IF(B211 = "Blu" , G211 + 'Over View'!$B$6, IF(B211 = "Verde" , G211 + 'Over View'!$B$7, IF(B211 = "Rosso" , G211 + 'Over View'!$B$8, "Grado Non Inserito") )))))</f>
        <v>45848</v>
      </c>
      <c r="I211" s="66" t="b">
        <v>0</v>
      </c>
      <c r="J211" s="73" t="s">
        <v>15</v>
      </c>
      <c r="K211" s="72"/>
      <c r="L211" s="69" t="str">
        <f t="shared" si="1"/>
        <v>off set</v>
      </c>
    </row>
    <row r="212" ht="22.5" customHeight="1">
      <c r="A212" s="59">
        <v>211.0</v>
      </c>
      <c r="B212" s="60" t="s">
        <v>18</v>
      </c>
      <c r="C212" s="61">
        <v>6.0</v>
      </c>
      <c r="D212" s="60" t="s">
        <v>27</v>
      </c>
      <c r="E212" s="60" t="s">
        <v>30</v>
      </c>
      <c r="F212" s="60" t="s">
        <v>14</v>
      </c>
      <c r="G212" s="70">
        <v>45818.0</v>
      </c>
      <c r="H212" s="65">
        <f>IF(B212 = "Smile", G212 + 'Over View'!$B$3, IF(B212 = "Bianco" , G212 + 'Over View'!$B$4, IF(B212 = "Giallo" , G212 + 'Over View'!$B$5, IF(B212 = "Blu" , G212 + 'Over View'!$B$6, IF(B212 = "Verde" , G212 + 'Over View'!$B$7, IF(B212 = "Rosso" , G212 + 'Over View'!$B$8, "Grado Non Inserito") )))))</f>
        <v>45848</v>
      </c>
      <c r="I212" s="66" t="b">
        <v>0</v>
      </c>
      <c r="J212" s="73" t="s">
        <v>15</v>
      </c>
      <c r="K212" s="72"/>
      <c r="L212" s="69" t="str">
        <f t="shared" si="1"/>
        <v>off set</v>
      </c>
    </row>
    <row r="213" ht="22.5" customHeight="1">
      <c r="A213" s="59">
        <v>212.0</v>
      </c>
      <c r="B213" s="60" t="s">
        <v>21</v>
      </c>
      <c r="C213" s="61">
        <v>15.0</v>
      </c>
      <c r="D213" s="60" t="s">
        <v>12</v>
      </c>
      <c r="E213" s="60" t="s">
        <v>28</v>
      </c>
      <c r="F213" s="60" t="s">
        <v>14</v>
      </c>
      <c r="G213" s="70">
        <v>45818.0</v>
      </c>
      <c r="H213" s="65">
        <f>IF(B213 = "Smile", G213 + 'Over View'!$B$3, IF(B213 = "Bianco" , G213 + 'Over View'!$B$4, IF(B213 = "Giallo" , G213 + 'Over View'!$B$5, IF(B213 = "Blu" , G213 + 'Over View'!$B$6, IF(B213 = "Verde" , G213 + 'Over View'!$B$7, IF(B213 = "Rosso" , G213 + 'Over View'!$B$8, "Grado Non Inserito") )))))</f>
        <v>45832</v>
      </c>
      <c r="I213" s="66" t="b">
        <v>0</v>
      </c>
      <c r="J213" s="73" t="s">
        <v>15</v>
      </c>
      <c r="K213" s="72"/>
      <c r="L213" s="69" t="str">
        <f t="shared" si="1"/>
        <v>off set</v>
      </c>
    </row>
    <row r="214" ht="22.5" customHeight="1">
      <c r="A214" s="59">
        <v>213.0</v>
      </c>
      <c r="B214" s="60" t="s">
        <v>23</v>
      </c>
      <c r="C214" s="61">
        <v>7.0</v>
      </c>
      <c r="D214" s="60" t="s">
        <v>23</v>
      </c>
      <c r="E214" s="60" t="s">
        <v>38</v>
      </c>
      <c r="F214" s="60" t="s">
        <v>14</v>
      </c>
      <c r="G214" s="70">
        <v>45845.0</v>
      </c>
      <c r="H214" s="65">
        <f>IF(B214 = "Smile", G214 + 'Over View'!$B$3, IF(B214 = "Bianco" , G214 + 'Over View'!$B$4, IF(B214 = "Giallo" , G214 + 'Over View'!$B$5, IF(B214 = "Blu" , G214 + 'Over View'!$B$6, IF(B214 = "Verde" , G214 + 'Over View'!$B$7, IF(B214 = "Rosso" , G214 + 'Over View'!$B$8, "Grado Non Inserito") )))))</f>
        <v>45866</v>
      </c>
      <c r="I214" s="66" t="b">
        <v>1</v>
      </c>
      <c r="J214" s="71"/>
      <c r="K214" s="68">
        <v>45905.0</v>
      </c>
      <c r="L214" s="69" t="str">
        <f t="shared" si="1"/>
        <v>on set</v>
      </c>
    </row>
    <row r="215" ht="22.5" customHeight="1">
      <c r="A215" s="59">
        <v>214.0</v>
      </c>
      <c r="B215" s="60" t="s">
        <v>18</v>
      </c>
      <c r="C215" s="61">
        <v>10.0</v>
      </c>
      <c r="D215" s="60" t="s">
        <v>19</v>
      </c>
      <c r="E215" s="60" t="s">
        <v>38</v>
      </c>
      <c r="F215" s="60" t="s">
        <v>36</v>
      </c>
      <c r="G215" s="70">
        <v>45845.0</v>
      </c>
      <c r="H215" s="65">
        <f>IF(B215 = "Smile", G215 + 'Over View'!$B$3, IF(B215 = "Bianco" , G215 + 'Over View'!$B$4, IF(B215 = "Giallo" , G215 + 'Over View'!$B$5, IF(B215 = "Blu" , G215 + 'Over View'!$B$6, IF(B215 = "Verde" , G215 + 'Over View'!$B$7, IF(B215 = "Rosso" , G215 + 'Over View'!$B$8, "Grado Non Inserito") )))))</f>
        <v>45875</v>
      </c>
      <c r="I215" s="66" t="b">
        <v>1</v>
      </c>
      <c r="J215" s="71"/>
      <c r="K215" s="68">
        <v>45905.0</v>
      </c>
      <c r="L215" s="69" t="str">
        <f t="shared" si="1"/>
        <v>on set</v>
      </c>
    </row>
    <row r="216" ht="22.5" customHeight="1">
      <c r="A216" s="59">
        <v>215.0</v>
      </c>
      <c r="B216" s="60" t="s">
        <v>23</v>
      </c>
      <c r="C216" s="61">
        <v>2.0</v>
      </c>
      <c r="D216" s="60" t="s">
        <v>12</v>
      </c>
      <c r="E216" s="60" t="s">
        <v>38</v>
      </c>
      <c r="F216" s="60" t="s">
        <v>14</v>
      </c>
      <c r="G216" s="70">
        <v>45845.0</v>
      </c>
      <c r="H216" s="65">
        <f>IF(B216 = "Smile", G216 + 'Over View'!$B$3, IF(B216 = "Bianco" , G216 + 'Over View'!$B$4, IF(B216 = "Giallo" , G216 + 'Over View'!$B$5, IF(B216 = "Blu" , G216 + 'Over View'!$B$6, IF(B216 = "Verde" , G216 + 'Over View'!$B$7, IF(B216 = "Rosso" , G216 + 'Over View'!$B$8, "Grado Non Inserito") )))))</f>
        <v>45866</v>
      </c>
      <c r="I216" s="66" t="b">
        <v>1</v>
      </c>
      <c r="J216" s="71"/>
      <c r="K216" s="68">
        <v>45905.0</v>
      </c>
      <c r="L216" s="69" t="str">
        <f t="shared" si="1"/>
        <v>on set</v>
      </c>
    </row>
    <row r="217" ht="22.5" customHeight="1">
      <c r="A217" s="59">
        <v>216.0</v>
      </c>
      <c r="B217" s="60" t="s">
        <v>18</v>
      </c>
      <c r="C217" s="61">
        <v>18.0</v>
      </c>
      <c r="D217" s="60" t="s">
        <v>11</v>
      </c>
      <c r="E217" s="60" t="s">
        <v>38</v>
      </c>
      <c r="F217" s="60" t="s">
        <v>40</v>
      </c>
      <c r="G217" s="70">
        <v>45845.0</v>
      </c>
      <c r="H217" s="65">
        <f>IF(B217 = "Smile", G217 + 'Over View'!$B$3, IF(B217 = "Bianco" , G217 + 'Over View'!$B$4, IF(B217 = "Giallo" , G217 + 'Over View'!$B$5, IF(B217 = "Blu" , G217 + 'Over View'!$B$6, IF(B217 = "Verde" , G217 + 'Over View'!$B$7, IF(B217 = "Rosso" , G217 + 'Over View'!$B$8, "Grado Non Inserito") )))))</f>
        <v>45875</v>
      </c>
      <c r="I217" s="66" t="b">
        <v>1</v>
      </c>
      <c r="J217" s="71"/>
      <c r="K217" s="68">
        <v>45905.0</v>
      </c>
      <c r="L217" s="69" t="str">
        <f t="shared" si="1"/>
        <v>on set</v>
      </c>
    </row>
    <row r="218" ht="22.5" customHeight="1">
      <c r="A218" s="59">
        <v>217.0</v>
      </c>
      <c r="B218" s="60" t="s">
        <v>12</v>
      </c>
      <c r="C218" s="61">
        <v>8.0</v>
      </c>
      <c r="D218" s="60" t="s">
        <v>12</v>
      </c>
      <c r="E218" s="60" t="s">
        <v>38</v>
      </c>
      <c r="F218" s="60" t="s">
        <v>40</v>
      </c>
      <c r="G218" s="70">
        <v>45845.0</v>
      </c>
      <c r="H218" s="65">
        <f>IF(B218 = "Smile", G218 + 'Over View'!$B$3, IF(B218 = "Bianco" , G218 + 'Over View'!$B$4, IF(B218 = "Giallo" , G218 + 'Over View'!$B$5, IF(B218 = "Blu" , G218 + 'Over View'!$B$6, IF(B218 = "Verde" , G218 + 'Over View'!$B$7, IF(B218 = "Rosso" , G218 + 'Over View'!$B$8, "Grado Non Inserito") )))))</f>
        <v>45875</v>
      </c>
      <c r="I218" s="66" t="b">
        <v>1</v>
      </c>
      <c r="J218" s="71"/>
      <c r="K218" s="68">
        <v>45905.0</v>
      </c>
      <c r="L218" s="69" t="str">
        <f t="shared" si="1"/>
        <v>on set</v>
      </c>
    </row>
    <row r="219" ht="22.5" customHeight="1">
      <c r="A219" s="59">
        <v>218.0</v>
      </c>
      <c r="B219" s="60" t="s">
        <v>12</v>
      </c>
      <c r="C219" s="61">
        <v>20.0</v>
      </c>
      <c r="D219" s="60" t="s">
        <v>18</v>
      </c>
      <c r="E219" s="60" t="s">
        <v>38</v>
      </c>
      <c r="F219" s="60" t="s">
        <v>40</v>
      </c>
      <c r="G219" s="70">
        <v>45845.0</v>
      </c>
      <c r="H219" s="65">
        <f>IF(B219 = "Smile", G219 + 'Over View'!$B$3, IF(B219 = "Bianco" , G219 + 'Over View'!$B$4, IF(B219 = "Giallo" , G219 + 'Over View'!$B$5, IF(B219 = "Blu" , G219 + 'Over View'!$B$6, IF(B219 = "Verde" , G219 + 'Over View'!$B$7, IF(B219 = "Rosso" , G219 + 'Over View'!$B$8, "Grado Non Inserito") )))))</f>
        <v>45875</v>
      </c>
      <c r="I219" s="66" t="b">
        <v>1</v>
      </c>
      <c r="J219" s="71"/>
      <c r="K219" s="68">
        <v>45905.0</v>
      </c>
      <c r="L219" s="69" t="str">
        <f t="shared" si="1"/>
        <v>on set</v>
      </c>
    </row>
    <row r="220" ht="22.5" customHeight="1">
      <c r="A220" s="59">
        <v>219.0</v>
      </c>
      <c r="B220" s="60" t="s">
        <v>16</v>
      </c>
      <c r="C220" s="61">
        <v>8.0</v>
      </c>
      <c r="D220" s="60" t="s">
        <v>23</v>
      </c>
      <c r="E220" s="60" t="s">
        <v>35</v>
      </c>
      <c r="F220" s="60" t="s">
        <v>37</v>
      </c>
      <c r="G220" s="70">
        <v>45845.0</v>
      </c>
      <c r="H220" s="65">
        <f>IF(B220 = "Smile", G220 + 'Over View'!$B$3, IF(B220 = "Bianco" , G220 + 'Over View'!$B$4, IF(B220 = "Giallo" , G220 + 'Over View'!$B$5, IF(B220 = "Blu" , G220 + 'Over View'!$B$6, IF(B220 = "Verde" , G220 + 'Over View'!$B$7, IF(B220 = "Rosso" , G220 + 'Over View'!$B$8, "Grado Non Inserito") )))))</f>
        <v>45859</v>
      </c>
      <c r="I220" s="66" t="b">
        <v>1</v>
      </c>
      <c r="J220" s="71"/>
      <c r="K220" s="68">
        <v>45905.0</v>
      </c>
      <c r="L220" s="69" t="str">
        <f t="shared" si="1"/>
        <v>on set</v>
      </c>
    </row>
    <row r="221" ht="22.5" customHeight="1">
      <c r="A221" s="59">
        <v>220.0</v>
      </c>
      <c r="B221" s="60" t="s">
        <v>11</v>
      </c>
      <c r="C221" s="61">
        <v>10.0</v>
      </c>
      <c r="D221" s="60" t="s">
        <v>12</v>
      </c>
      <c r="E221" s="60" t="s">
        <v>35</v>
      </c>
      <c r="F221" s="60" t="s">
        <v>14</v>
      </c>
      <c r="G221" s="70">
        <v>45845.0</v>
      </c>
      <c r="H221" s="65">
        <f>IF(B221 = "Smile", G221 + 'Over View'!$B$3, IF(B221 = "Bianco" , G221 + 'Over View'!$B$4, IF(B221 = "Giallo" , G221 + 'Over View'!$B$5, IF(B221 = "Blu" , G221 + 'Over View'!$B$6, IF(B221 = "Verde" , G221 + 'Over View'!$B$7, IF(B221 = "Rosso" , G221 + 'Over View'!$B$8, "Grado Non Inserito") )))))</f>
        <v>45866</v>
      </c>
      <c r="I221" s="66" t="b">
        <v>1</v>
      </c>
      <c r="J221" s="71"/>
      <c r="K221" s="68">
        <v>45905.0</v>
      </c>
      <c r="L221" s="69" t="str">
        <f t="shared" si="1"/>
        <v>on set</v>
      </c>
    </row>
    <row r="222" ht="22.5" customHeight="1">
      <c r="A222" s="59">
        <v>221.0</v>
      </c>
      <c r="B222" s="60" t="s">
        <v>11</v>
      </c>
      <c r="C222" s="61">
        <v>4.0</v>
      </c>
      <c r="D222" s="60" t="s">
        <v>19</v>
      </c>
      <c r="E222" s="60" t="s">
        <v>35</v>
      </c>
      <c r="F222" s="60" t="s">
        <v>37</v>
      </c>
      <c r="G222" s="70">
        <v>45845.0</v>
      </c>
      <c r="H222" s="65">
        <f>IF(B222 = "Smile", G222 + 'Over View'!$B$3, IF(B222 = "Bianco" , G222 + 'Over View'!$B$4, IF(B222 = "Giallo" , G222 + 'Over View'!$B$5, IF(B222 = "Blu" , G222 + 'Over View'!$B$6, IF(B222 = "Verde" , G222 + 'Over View'!$B$7, IF(B222 = "Rosso" , G222 + 'Over View'!$B$8, "Grado Non Inserito") )))))</f>
        <v>45866</v>
      </c>
      <c r="I222" s="66" t="b">
        <v>1</v>
      </c>
      <c r="J222" s="71"/>
      <c r="K222" s="68">
        <v>45905.0</v>
      </c>
      <c r="L222" s="69" t="str">
        <f t="shared" si="1"/>
        <v>on set</v>
      </c>
    </row>
    <row r="223" ht="22.5" customHeight="1">
      <c r="A223" s="59">
        <v>222.0</v>
      </c>
      <c r="B223" s="60" t="s">
        <v>21</v>
      </c>
      <c r="C223" s="61">
        <v>8.0</v>
      </c>
      <c r="D223" s="63"/>
      <c r="E223" s="60" t="s">
        <v>35</v>
      </c>
      <c r="F223" s="60" t="s">
        <v>14</v>
      </c>
      <c r="G223" s="70">
        <v>45845.0</v>
      </c>
      <c r="H223" s="65">
        <f>IF(B223 = "Smile", G223 + 'Over View'!$B$3, IF(B223 = "Bianco" , G223 + 'Over View'!$B$4, IF(B223 = "Giallo" , G223 + 'Over View'!$B$5, IF(B223 = "Blu" , G223 + 'Over View'!$B$6, IF(B223 = "Verde" , G223 + 'Over View'!$B$7, IF(B223 = "Rosso" , G223 + 'Over View'!$B$8, "Grado Non Inserito") )))))</f>
        <v>45859</v>
      </c>
      <c r="I223" s="66" t="b">
        <v>1</v>
      </c>
      <c r="J223" s="71"/>
      <c r="K223" s="68">
        <v>45905.0</v>
      </c>
      <c r="L223" s="69" t="str">
        <f t="shared" si="1"/>
        <v>on set</v>
      </c>
    </row>
    <row r="224" ht="22.5" customHeight="1">
      <c r="A224" s="59">
        <v>223.0</v>
      </c>
      <c r="B224" s="60" t="s">
        <v>12</v>
      </c>
      <c r="C224" s="61">
        <v>13.0</v>
      </c>
      <c r="D224" s="60" t="s">
        <v>19</v>
      </c>
      <c r="E224" s="60" t="s">
        <v>35</v>
      </c>
      <c r="F224" s="60" t="s">
        <v>40</v>
      </c>
      <c r="G224" s="70">
        <v>45868.0</v>
      </c>
      <c r="H224" s="65">
        <f>IF(B224 = "Smile", G224 + 'Over View'!$B$3, IF(B224 = "Bianco" , G224 + 'Over View'!$B$4, IF(B224 = "Giallo" , G224 + 'Over View'!$B$5, IF(B224 = "Blu" , G224 + 'Over View'!$B$6, IF(B224 = "Verde" , G224 + 'Over View'!$B$7, IF(B224 = "Rosso" , G224 + 'Over View'!$B$8, "Grado Non Inserito") )))))</f>
        <v>45898</v>
      </c>
      <c r="I224" s="66" t="b">
        <v>1</v>
      </c>
      <c r="J224" s="71"/>
      <c r="K224" s="68">
        <v>45905.0</v>
      </c>
      <c r="L224" s="69" t="str">
        <f t="shared" si="1"/>
        <v>on set</v>
      </c>
    </row>
    <row r="225" ht="22.5" customHeight="1">
      <c r="A225" s="59">
        <v>224.0</v>
      </c>
      <c r="B225" s="60" t="s">
        <v>21</v>
      </c>
      <c r="C225" s="61">
        <v>7.0</v>
      </c>
      <c r="D225" s="60" t="s">
        <v>11</v>
      </c>
      <c r="E225" s="60" t="s">
        <v>33</v>
      </c>
      <c r="F225" s="60" t="s">
        <v>40</v>
      </c>
      <c r="G225" s="70">
        <v>45845.0</v>
      </c>
      <c r="H225" s="65">
        <f>IF(B225 = "Smile", G225 + 'Over View'!$B$3, IF(B225 = "Bianco" , G225 + 'Over View'!$B$4, IF(B225 = "Giallo" , G225 + 'Over View'!$B$5, IF(B225 = "Blu" , G225 + 'Over View'!$B$6, IF(B225 = "Verde" , G225 + 'Over View'!$B$7, IF(B225 = "Rosso" , G225 + 'Over View'!$B$8, "Grado Non Inserito") )))))</f>
        <v>45859</v>
      </c>
      <c r="I225" s="66" t="b">
        <v>1</v>
      </c>
      <c r="J225" s="71"/>
      <c r="K225" s="68">
        <v>45905.0</v>
      </c>
      <c r="L225" s="69" t="str">
        <f t="shared" si="1"/>
        <v>on set</v>
      </c>
    </row>
    <row r="226" ht="22.5" customHeight="1">
      <c r="A226" s="59">
        <v>225.0</v>
      </c>
      <c r="B226" s="60" t="s">
        <v>12</v>
      </c>
      <c r="C226" s="61">
        <v>7.0</v>
      </c>
      <c r="D226" s="60" t="s">
        <v>23</v>
      </c>
      <c r="E226" s="60" t="s">
        <v>33</v>
      </c>
      <c r="F226" s="60" t="s">
        <v>36</v>
      </c>
      <c r="G226" s="70">
        <v>45845.0</v>
      </c>
      <c r="H226" s="65">
        <f>IF(B226 = "Smile", G226 + 'Over View'!$B$3, IF(B226 = "Bianco" , G226 + 'Over View'!$B$4, IF(B226 = "Giallo" , G226 + 'Over View'!$B$5, IF(B226 = "Blu" , G226 + 'Over View'!$B$6, IF(B226 = "Verde" , G226 + 'Over View'!$B$7, IF(B226 = "Rosso" , G226 + 'Over View'!$B$8, "Grado Non Inserito") )))))</f>
        <v>45875</v>
      </c>
      <c r="I226" s="66" t="b">
        <v>1</v>
      </c>
      <c r="J226" s="71"/>
      <c r="K226" s="68">
        <v>45905.0</v>
      </c>
      <c r="L226" s="69" t="str">
        <f t="shared" si="1"/>
        <v>on set</v>
      </c>
    </row>
    <row r="227" ht="22.5" customHeight="1">
      <c r="A227" s="59">
        <v>226.0</v>
      </c>
      <c r="B227" s="60" t="s">
        <v>18</v>
      </c>
      <c r="C227" s="61">
        <v>14.0</v>
      </c>
      <c r="D227" s="60" t="s">
        <v>19</v>
      </c>
      <c r="E227" s="60" t="s">
        <v>33</v>
      </c>
      <c r="F227" s="60" t="s">
        <v>36</v>
      </c>
      <c r="G227" s="70">
        <v>45845.0</v>
      </c>
      <c r="H227" s="65">
        <f>IF(B227 = "Smile", G227 + 'Over View'!$B$3, IF(B227 = "Bianco" , G227 + 'Over View'!$B$4, IF(B227 = "Giallo" , G227 + 'Over View'!$B$5, IF(B227 = "Blu" , G227 + 'Over View'!$B$6, IF(B227 = "Verde" , G227 + 'Over View'!$B$7, IF(B227 = "Rosso" , G227 + 'Over View'!$B$8, "Grado Non Inserito") )))))</f>
        <v>45875</v>
      </c>
      <c r="I227" s="66" t="b">
        <v>1</v>
      </c>
      <c r="J227" s="71"/>
      <c r="K227" s="68">
        <v>45905.0</v>
      </c>
      <c r="L227" s="69" t="str">
        <f t="shared" si="1"/>
        <v>on set</v>
      </c>
    </row>
    <row r="228" ht="22.5" customHeight="1">
      <c r="A228" s="59">
        <v>227.0</v>
      </c>
      <c r="B228" s="60" t="s">
        <v>12</v>
      </c>
      <c r="C228" s="61">
        <v>10.0</v>
      </c>
      <c r="D228" s="60" t="s">
        <v>18</v>
      </c>
      <c r="E228" s="60" t="s">
        <v>33</v>
      </c>
      <c r="F228" s="60" t="s">
        <v>37</v>
      </c>
      <c r="G228" s="70">
        <v>45845.0</v>
      </c>
      <c r="H228" s="65">
        <f>IF(B228 = "Smile", G228 + 'Over View'!$B$3, IF(B228 = "Bianco" , G228 + 'Over View'!$B$4, IF(B228 = "Giallo" , G228 + 'Over View'!$B$5, IF(B228 = "Blu" , G228 + 'Over View'!$B$6, IF(B228 = "Verde" , G228 + 'Over View'!$B$7, IF(B228 = "Rosso" , G228 + 'Over View'!$B$8, "Grado Non Inserito") )))))</f>
        <v>45875</v>
      </c>
      <c r="I228" s="66" t="b">
        <v>1</v>
      </c>
      <c r="J228" s="71"/>
      <c r="K228" s="68">
        <v>45905.0</v>
      </c>
      <c r="L228" s="69" t="str">
        <f t="shared" si="1"/>
        <v>on set</v>
      </c>
    </row>
    <row r="229" ht="22.5" customHeight="1">
      <c r="A229" s="59">
        <v>228.0</v>
      </c>
      <c r="B229" s="60" t="s">
        <v>16</v>
      </c>
      <c r="C229" s="61">
        <v>7.0</v>
      </c>
      <c r="D229" s="60" t="s">
        <v>11</v>
      </c>
      <c r="E229" s="60" t="s">
        <v>33</v>
      </c>
      <c r="F229" s="60" t="s">
        <v>14</v>
      </c>
      <c r="G229" s="70">
        <v>45845.0</v>
      </c>
      <c r="H229" s="65">
        <f>IF(B229 = "Smile", G229 + 'Over View'!$B$3, IF(B229 = "Bianco" , G229 + 'Over View'!$B$4, IF(B229 = "Giallo" , G229 + 'Over View'!$B$5, IF(B229 = "Blu" , G229 + 'Over View'!$B$6, IF(B229 = "Verde" , G229 + 'Over View'!$B$7, IF(B229 = "Rosso" , G229 + 'Over View'!$B$8, "Grado Non Inserito") )))))</f>
        <v>45859</v>
      </c>
      <c r="I229" s="66" t="b">
        <v>1</v>
      </c>
      <c r="J229" s="71"/>
      <c r="K229" s="68">
        <v>45905.0</v>
      </c>
      <c r="L229" s="69" t="str">
        <f t="shared" si="1"/>
        <v>on set</v>
      </c>
    </row>
    <row r="230" ht="22.5" customHeight="1">
      <c r="A230" s="59">
        <v>229.0</v>
      </c>
      <c r="B230" s="60" t="s">
        <v>21</v>
      </c>
      <c r="C230" s="61">
        <v>6.0</v>
      </c>
      <c r="D230" s="60" t="s">
        <v>12</v>
      </c>
      <c r="E230" s="60" t="s">
        <v>32</v>
      </c>
      <c r="F230" s="60" t="s">
        <v>39</v>
      </c>
      <c r="G230" s="70">
        <v>45845.0</v>
      </c>
      <c r="H230" s="65">
        <f>IF(B230 = "Smile", G230 + 'Over View'!$B$3, IF(B230 = "Bianco" , G230 + 'Over View'!$B$4, IF(B230 = "Giallo" , G230 + 'Over View'!$B$5, IF(B230 = "Blu" , G230 + 'Over View'!$B$6, IF(B230 = "Verde" , G230 + 'Over View'!$B$7, IF(B230 = "Rosso" , G230 + 'Over View'!$B$8, "Grado Non Inserito") )))))</f>
        <v>45859</v>
      </c>
      <c r="I230" s="66" t="b">
        <v>1</v>
      </c>
      <c r="J230" s="71"/>
      <c r="K230" s="68">
        <v>45905.0</v>
      </c>
      <c r="L230" s="69" t="str">
        <f t="shared" si="1"/>
        <v>on set</v>
      </c>
    </row>
    <row r="231" ht="22.5" customHeight="1">
      <c r="A231" s="59">
        <v>230.0</v>
      </c>
      <c r="B231" s="60" t="s">
        <v>21</v>
      </c>
      <c r="C231" s="61">
        <v>5.0</v>
      </c>
      <c r="D231" s="60" t="s">
        <v>11</v>
      </c>
      <c r="E231" s="60" t="s">
        <v>32</v>
      </c>
      <c r="F231" s="63"/>
      <c r="G231" s="70">
        <v>45845.0</v>
      </c>
      <c r="H231" s="65">
        <f>IF(B231 = "Smile", G231 + 'Over View'!$B$3, IF(B231 = "Bianco" , G231 + 'Over View'!$B$4, IF(B231 = "Giallo" , G231 + 'Over View'!$B$5, IF(B231 = "Blu" , G231 + 'Over View'!$B$6, IF(B231 = "Verde" , G231 + 'Over View'!$B$7, IF(B231 = "Rosso" , G231 + 'Over View'!$B$8, "Grado Non Inserito") )))))</f>
        <v>45859</v>
      </c>
      <c r="I231" s="66" t="b">
        <v>1</v>
      </c>
      <c r="J231" s="71"/>
      <c r="K231" s="68">
        <v>45905.0</v>
      </c>
      <c r="L231" s="69" t="str">
        <f t="shared" si="1"/>
        <v>on set</v>
      </c>
    </row>
    <row r="232" ht="22.5" customHeight="1">
      <c r="A232" s="59">
        <v>231.0</v>
      </c>
      <c r="B232" s="60" t="s">
        <v>11</v>
      </c>
      <c r="C232" s="61">
        <v>8.0</v>
      </c>
      <c r="D232" s="60" t="s">
        <v>18</v>
      </c>
      <c r="E232" s="60" t="s">
        <v>32</v>
      </c>
      <c r="F232" s="60" t="s">
        <v>37</v>
      </c>
      <c r="G232" s="70">
        <v>45866.0</v>
      </c>
      <c r="H232" s="65">
        <f>IF(B232 = "Smile", G232 + 'Over View'!$B$3, IF(B232 = "Bianco" , G232 + 'Over View'!$B$4, IF(B232 = "Giallo" , G232 + 'Over View'!$B$5, IF(B232 = "Blu" , G232 + 'Over View'!$B$6, IF(B232 = "Verde" , G232 + 'Over View'!$B$7, IF(B232 = "Rosso" , G232 + 'Over View'!$B$8, "Grado Non Inserito") )))))</f>
        <v>45887</v>
      </c>
      <c r="I232" s="66" t="b">
        <v>1</v>
      </c>
      <c r="J232" s="71"/>
      <c r="K232" s="68">
        <v>45905.0</v>
      </c>
      <c r="L232" s="69" t="str">
        <f t="shared" si="1"/>
        <v>on set</v>
      </c>
    </row>
    <row r="233" ht="22.5" customHeight="1">
      <c r="A233" s="59">
        <v>232.0</v>
      </c>
      <c r="B233" s="60" t="s">
        <v>18</v>
      </c>
      <c r="C233" s="61">
        <v>16.0</v>
      </c>
      <c r="D233" s="60" t="s">
        <v>19</v>
      </c>
      <c r="E233" s="60" t="s">
        <v>32</v>
      </c>
      <c r="F233" s="63"/>
      <c r="G233" s="70">
        <v>45853.0</v>
      </c>
      <c r="H233" s="65">
        <f>IF(B233 = "Smile", G233 + 'Over View'!$B$3, IF(B233 = "Bianco" , G233 + 'Over View'!$B$4, IF(B233 = "Giallo" , G233 + 'Over View'!$B$5, IF(B233 = "Blu" , G233 + 'Over View'!$B$6, IF(B233 = "Verde" , G233 + 'Over View'!$B$7, IF(B233 = "Rosso" , G233 + 'Over View'!$B$8, "Grado Non Inserito") )))))</f>
        <v>45883</v>
      </c>
      <c r="I233" s="66" t="b">
        <v>1</v>
      </c>
      <c r="J233" s="71"/>
      <c r="K233" s="68">
        <v>45905.0</v>
      </c>
      <c r="L233" s="69" t="str">
        <f t="shared" si="1"/>
        <v>on set</v>
      </c>
    </row>
    <row r="234" ht="22.5" customHeight="1">
      <c r="A234" s="59">
        <v>233.0</v>
      </c>
      <c r="B234" s="60" t="s">
        <v>16</v>
      </c>
      <c r="C234" s="61">
        <v>6.0</v>
      </c>
      <c r="D234" s="60" t="s">
        <v>25</v>
      </c>
      <c r="E234" s="60" t="s">
        <v>32</v>
      </c>
      <c r="F234" s="60" t="s">
        <v>14</v>
      </c>
      <c r="G234" s="70">
        <v>45845.0</v>
      </c>
      <c r="H234" s="65">
        <f>IF(B234 = "Smile", G234 + 'Over View'!$B$3, IF(B234 = "Bianco" , G234 + 'Over View'!$B$4, IF(B234 = "Giallo" , G234 + 'Over View'!$B$5, IF(B234 = "Blu" , G234 + 'Over View'!$B$6, IF(B234 = "Verde" , G234 + 'Over View'!$B$7, IF(B234 = "Rosso" , G234 + 'Over View'!$B$8, "Grado Non Inserito") )))))</f>
        <v>45859</v>
      </c>
      <c r="I234" s="66" t="b">
        <v>1</v>
      </c>
      <c r="J234" s="71"/>
      <c r="K234" s="68">
        <v>45905.0</v>
      </c>
      <c r="L234" s="69" t="str">
        <f t="shared" si="1"/>
        <v>on set</v>
      </c>
    </row>
    <row r="235" ht="22.5" customHeight="1">
      <c r="A235" s="59">
        <v>234.0</v>
      </c>
      <c r="B235" s="60" t="s">
        <v>18</v>
      </c>
      <c r="C235" s="61">
        <v>8.0</v>
      </c>
      <c r="D235" s="60" t="s">
        <v>23</v>
      </c>
      <c r="E235" s="60" t="s">
        <v>32</v>
      </c>
      <c r="F235" s="63"/>
      <c r="G235" s="70">
        <v>45845.0</v>
      </c>
      <c r="H235" s="65">
        <f>IF(B235 = "Smile", G235 + 'Over View'!$B$3, IF(B235 = "Bianco" , G235 + 'Over View'!$B$4, IF(B235 = "Giallo" , G235 + 'Over View'!$B$5, IF(B235 = "Blu" , G235 + 'Over View'!$B$6, IF(B235 = "Verde" , G235 + 'Over View'!$B$7, IF(B235 = "Rosso" , G235 + 'Over View'!$B$8, "Grado Non Inserito") )))))</f>
        <v>45875</v>
      </c>
      <c r="I235" s="66" t="b">
        <v>1</v>
      </c>
      <c r="J235" s="71"/>
      <c r="K235" s="68">
        <v>45905.0</v>
      </c>
      <c r="L235" s="69" t="str">
        <f t="shared" si="1"/>
        <v>on set</v>
      </c>
    </row>
    <row r="236" ht="22.5" customHeight="1">
      <c r="A236" s="59">
        <v>235.0</v>
      </c>
      <c r="B236" s="60" t="s">
        <v>21</v>
      </c>
      <c r="C236" s="61">
        <v>10.0</v>
      </c>
      <c r="D236" s="60" t="s">
        <v>19</v>
      </c>
      <c r="E236" s="60" t="s">
        <v>32</v>
      </c>
      <c r="F236" s="60" t="s">
        <v>40</v>
      </c>
      <c r="G236" s="70">
        <v>45868.0</v>
      </c>
      <c r="H236" s="65">
        <f>IF(B236 = "Smile", G236 + 'Over View'!$B$3, IF(B236 = "Bianco" , G236 + 'Over View'!$B$4, IF(B236 = "Giallo" , G236 + 'Over View'!$B$5, IF(B236 = "Blu" , G236 + 'Over View'!$B$6, IF(B236 = "Verde" , G236 + 'Over View'!$B$7, IF(B236 = "Rosso" , G236 + 'Over View'!$B$8, "Grado Non Inserito") )))))</f>
        <v>45882</v>
      </c>
      <c r="I236" s="66" t="b">
        <v>1</v>
      </c>
      <c r="J236" s="71"/>
      <c r="K236" s="68">
        <v>45905.0</v>
      </c>
      <c r="L236" s="69" t="str">
        <f t="shared" si="1"/>
        <v>on set</v>
      </c>
    </row>
    <row r="237" ht="22.5" customHeight="1">
      <c r="A237" s="59">
        <v>236.0</v>
      </c>
      <c r="B237" s="60" t="s">
        <v>18</v>
      </c>
      <c r="C237" s="61">
        <v>7.0</v>
      </c>
      <c r="D237" s="60" t="s">
        <v>11</v>
      </c>
      <c r="E237" s="60" t="s">
        <v>32</v>
      </c>
      <c r="F237" s="60" t="s">
        <v>40</v>
      </c>
      <c r="G237" s="70">
        <v>45845.0</v>
      </c>
      <c r="H237" s="65">
        <f>IF(B237 = "Smile", G237 + 'Over View'!$B$3, IF(B237 = "Bianco" , G237 + 'Over View'!$B$4, IF(B237 = "Giallo" , G237 + 'Over View'!$B$5, IF(B237 = "Blu" , G237 + 'Over View'!$B$6, IF(B237 = "Verde" , G237 + 'Over View'!$B$7, IF(B237 = "Rosso" , G237 + 'Over View'!$B$8, "Grado Non Inserito") )))))</f>
        <v>45875</v>
      </c>
      <c r="I237" s="66" t="b">
        <v>1</v>
      </c>
      <c r="J237" s="71"/>
      <c r="K237" s="68">
        <v>45905.0</v>
      </c>
      <c r="L237" s="69" t="str">
        <f t="shared" si="1"/>
        <v>on set</v>
      </c>
    </row>
    <row r="238" ht="22.5" customHeight="1">
      <c r="A238" s="59">
        <v>237.0</v>
      </c>
      <c r="B238" s="60" t="s">
        <v>18</v>
      </c>
      <c r="C238" s="61">
        <v>19.0</v>
      </c>
      <c r="D238" s="60" t="s">
        <v>23</v>
      </c>
      <c r="E238" s="60" t="s">
        <v>32</v>
      </c>
      <c r="F238" s="60" t="s">
        <v>40</v>
      </c>
      <c r="G238" s="70">
        <v>45859.0</v>
      </c>
      <c r="H238" s="65">
        <f>IF(B238 = "Smile", G238 + 'Over View'!$B$3, IF(B238 = "Bianco" , G238 + 'Over View'!$B$4, IF(B238 = "Giallo" , G238 + 'Over View'!$B$5, IF(B238 = "Blu" , G238 + 'Over View'!$B$6, IF(B238 = "Verde" , G238 + 'Over View'!$B$7, IF(B238 = "Rosso" , G238 + 'Over View'!$B$8, "Grado Non Inserito") )))))</f>
        <v>45889</v>
      </c>
      <c r="I238" s="66" t="b">
        <v>1</v>
      </c>
      <c r="J238" s="71"/>
      <c r="K238" s="68">
        <v>45905.0</v>
      </c>
      <c r="L238" s="69" t="str">
        <f t="shared" si="1"/>
        <v>on set</v>
      </c>
    </row>
    <row r="239" ht="22.5" customHeight="1">
      <c r="A239" s="59">
        <v>238.0</v>
      </c>
      <c r="B239" s="60" t="s">
        <v>12</v>
      </c>
      <c r="C239" s="61">
        <v>6.0</v>
      </c>
      <c r="D239" s="60" t="s">
        <v>12</v>
      </c>
      <c r="E239" s="60" t="s">
        <v>32</v>
      </c>
      <c r="F239" s="60" t="s">
        <v>14</v>
      </c>
      <c r="G239" s="70">
        <v>45845.0</v>
      </c>
      <c r="H239" s="65">
        <f>IF(B239 = "Smile", G239 + 'Over View'!$B$3, IF(B239 = "Bianco" , G239 + 'Over View'!$B$4, IF(B239 = "Giallo" , G239 + 'Over View'!$B$5, IF(B239 = "Blu" , G239 + 'Over View'!$B$6, IF(B239 = "Verde" , G239 + 'Over View'!$B$7, IF(B239 = "Rosso" , G239 + 'Over View'!$B$8, "Grado Non Inserito") )))))</f>
        <v>45875</v>
      </c>
      <c r="I239" s="66" t="b">
        <v>1</v>
      </c>
      <c r="J239" s="71"/>
      <c r="K239" s="68">
        <v>45905.0</v>
      </c>
      <c r="L239" s="69" t="str">
        <f t="shared" si="1"/>
        <v>on set</v>
      </c>
    </row>
    <row r="240" ht="22.5" customHeight="1">
      <c r="A240" s="59">
        <v>239.0</v>
      </c>
      <c r="B240" s="60" t="s">
        <v>12</v>
      </c>
      <c r="C240" s="61">
        <v>5.0</v>
      </c>
      <c r="D240" s="60" t="s">
        <v>25</v>
      </c>
      <c r="E240" s="60" t="s">
        <v>32</v>
      </c>
      <c r="F240" s="60" t="s">
        <v>39</v>
      </c>
      <c r="G240" s="70">
        <v>45845.0</v>
      </c>
      <c r="H240" s="65">
        <f>IF(B240 = "Smile", G240 + 'Over View'!$B$3, IF(B240 = "Bianco" , G240 + 'Over View'!$B$4, IF(B240 = "Giallo" , G240 + 'Over View'!$B$5, IF(B240 = "Blu" , G240 + 'Over View'!$B$6, IF(B240 = "Verde" , G240 + 'Over View'!$B$7, IF(B240 = "Rosso" , G240 + 'Over View'!$B$8, "Grado Non Inserito") )))))</f>
        <v>45875</v>
      </c>
      <c r="I240" s="66" t="b">
        <v>1</v>
      </c>
      <c r="J240" s="71"/>
      <c r="K240" s="68">
        <v>45905.0</v>
      </c>
      <c r="L240" s="69" t="str">
        <f t="shared" si="1"/>
        <v>on set</v>
      </c>
    </row>
    <row r="241" ht="22.5" customHeight="1">
      <c r="A241" s="59">
        <v>240.0</v>
      </c>
      <c r="B241" s="60" t="s">
        <v>12</v>
      </c>
      <c r="C241" s="61">
        <v>4.0</v>
      </c>
      <c r="D241" s="60" t="s">
        <v>18</v>
      </c>
      <c r="E241" s="60" t="s">
        <v>32</v>
      </c>
      <c r="F241" s="60" t="s">
        <v>40</v>
      </c>
      <c r="G241" s="70">
        <v>45845.0</v>
      </c>
      <c r="H241" s="65">
        <f>IF(B241 = "Smile", G241 + 'Over View'!$B$3, IF(B241 = "Bianco" , G241 + 'Over View'!$B$4, IF(B241 = "Giallo" , G241 + 'Over View'!$B$5, IF(B241 = "Blu" , G241 + 'Over View'!$B$6, IF(B241 = "Verde" , G241 + 'Over View'!$B$7, IF(B241 = "Rosso" , G241 + 'Over View'!$B$8, "Grado Non Inserito") )))))</f>
        <v>45875</v>
      </c>
      <c r="I241" s="66" t="b">
        <v>1</v>
      </c>
      <c r="J241" s="71"/>
      <c r="K241" s="68">
        <v>45905.0</v>
      </c>
      <c r="L241" s="69" t="str">
        <f t="shared" si="1"/>
        <v>on set</v>
      </c>
    </row>
    <row r="242" ht="22.5" customHeight="1">
      <c r="A242" s="59">
        <v>241.0</v>
      </c>
      <c r="B242" s="60" t="s">
        <v>12</v>
      </c>
      <c r="C242" s="61">
        <v>3.0</v>
      </c>
      <c r="D242" s="60" t="s">
        <v>19</v>
      </c>
      <c r="E242" s="60" t="s">
        <v>30</v>
      </c>
      <c r="F242" s="60" t="s">
        <v>39</v>
      </c>
      <c r="G242" s="70">
        <v>45845.0</v>
      </c>
      <c r="H242" s="65">
        <f>IF(B242 = "Smile", G242 + 'Over View'!$B$3, IF(B242 = "Bianco" , G242 + 'Over View'!$B$4, IF(B242 = "Giallo" , G242 + 'Over View'!$B$5, IF(B242 = "Blu" , G242 + 'Over View'!$B$6, IF(B242 = "Verde" , G242 + 'Over View'!$B$7, IF(B242 = "Rosso" , G242 + 'Over View'!$B$8, "Grado Non Inserito") )))))</f>
        <v>45875</v>
      </c>
      <c r="I242" s="66" t="b">
        <v>1</v>
      </c>
      <c r="J242" s="71"/>
      <c r="K242" s="68">
        <v>45905.0</v>
      </c>
      <c r="L242" s="69" t="str">
        <f t="shared" si="1"/>
        <v>on set</v>
      </c>
    </row>
    <row r="243" ht="22.5" customHeight="1">
      <c r="A243" s="59">
        <v>242.0</v>
      </c>
      <c r="B243" s="60" t="s">
        <v>11</v>
      </c>
      <c r="C243" s="61">
        <v>3.0</v>
      </c>
      <c r="D243" s="60" t="s">
        <v>23</v>
      </c>
      <c r="E243" s="60" t="s">
        <v>30</v>
      </c>
      <c r="F243" s="60" t="s">
        <v>14</v>
      </c>
      <c r="G243" s="70">
        <v>45845.0</v>
      </c>
      <c r="H243" s="65">
        <f>IF(B243 = "Smile", G243 + 'Over View'!$B$3, IF(B243 = "Bianco" , G243 + 'Over View'!$B$4, IF(B243 = "Giallo" , G243 + 'Over View'!$B$5, IF(B243 = "Blu" , G243 + 'Over View'!$B$6, IF(B243 = "Verde" , G243 + 'Over View'!$B$7, IF(B243 = "Rosso" , G243 + 'Over View'!$B$8, "Grado Non Inserito") )))))</f>
        <v>45866</v>
      </c>
      <c r="I243" s="66" t="b">
        <v>1</v>
      </c>
      <c r="J243" s="71"/>
      <c r="K243" s="68">
        <v>45905.0</v>
      </c>
      <c r="L243" s="69" t="str">
        <f t="shared" si="1"/>
        <v>on set</v>
      </c>
    </row>
    <row r="244" ht="22.5" customHeight="1">
      <c r="A244" s="59">
        <v>243.0</v>
      </c>
      <c r="B244" s="60" t="s">
        <v>12</v>
      </c>
      <c r="C244" s="61">
        <v>11.0</v>
      </c>
      <c r="D244" s="60" t="s">
        <v>25</v>
      </c>
      <c r="E244" s="60" t="s">
        <v>30</v>
      </c>
      <c r="F244" s="60" t="s">
        <v>40</v>
      </c>
      <c r="G244" s="70">
        <v>45859.0</v>
      </c>
      <c r="H244" s="65">
        <f>IF(B244 = "Smile", G244 + 'Over View'!$B$3, IF(B244 = "Bianco" , G244 + 'Over View'!$B$4, IF(B244 = "Giallo" , G244 + 'Over View'!$B$5, IF(B244 = "Blu" , G244 + 'Over View'!$B$6, IF(B244 = "Verde" , G244 + 'Over View'!$B$7, IF(B244 = "Rosso" , G244 + 'Over View'!$B$8, "Grado Non Inserito") )))))</f>
        <v>45889</v>
      </c>
      <c r="I244" s="66" t="b">
        <v>1</v>
      </c>
      <c r="J244" s="71"/>
      <c r="K244" s="68">
        <v>45905.0</v>
      </c>
      <c r="L244" s="69" t="str">
        <f t="shared" si="1"/>
        <v>on set</v>
      </c>
    </row>
    <row r="245" ht="22.5" customHeight="1">
      <c r="A245" s="59">
        <v>244.0</v>
      </c>
      <c r="B245" s="60" t="s">
        <v>18</v>
      </c>
      <c r="C245" s="61">
        <v>6.0</v>
      </c>
      <c r="D245" s="60" t="s">
        <v>12</v>
      </c>
      <c r="E245" s="60" t="s">
        <v>30</v>
      </c>
      <c r="F245" s="60" t="s">
        <v>40</v>
      </c>
      <c r="G245" s="70">
        <v>45868.0</v>
      </c>
      <c r="H245" s="65">
        <f>IF(B245 = "Smile", G245 + 'Over View'!$B$3, IF(B245 = "Bianco" , G245 + 'Over View'!$B$4, IF(B245 = "Giallo" , G245 + 'Over View'!$B$5, IF(B245 = "Blu" , G245 + 'Over View'!$B$6, IF(B245 = "Verde" , G245 + 'Over View'!$B$7, IF(B245 = "Rosso" , G245 + 'Over View'!$B$8, "Grado Non Inserito") )))))</f>
        <v>45898</v>
      </c>
      <c r="I245" s="66" t="b">
        <v>1</v>
      </c>
      <c r="J245" s="71"/>
      <c r="K245" s="68">
        <v>45905.0</v>
      </c>
      <c r="L245" s="69" t="str">
        <f t="shared" si="1"/>
        <v>on set</v>
      </c>
    </row>
    <row r="246" ht="22.5" customHeight="1">
      <c r="A246" s="59">
        <v>245.0</v>
      </c>
      <c r="B246" s="60" t="s">
        <v>21</v>
      </c>
      <c r="C246" s="61">
        <v>4.0</v>
      </c>
      <c r="D246" s="60" t="s">
        <v>11</v>
      </c>
      <c r="E246" s="60" t="s">
        <v>30</v>
      </c>
      <c r="F246" s="60" t="s">
        <v>40</v>
      </c>
      <c r="G246" s="70">
        <v>45845.0</v>
      </c>
      <c r="H246" s="65">
        <f>IF(B246 = "Smile", G246 + 'Over View'!$B$3, IF(B246 = "Bianco" , G246 + 'Over View'!$B$4, IF(B246 = "Giallo" , G246 + 'Over View'!$B$5, IF(B246 = "Blu" , G246 + 'Over View'!$B$6, IF(B246 = "Verde" , G246 + 'Over View'!$B$7, IF(B246 = "Rosso" , G246 + 'Over View'!$B$8, "Grado Non Inserito") )))))</f>
        <v>45859</v>
      </c>
      <c r="I246" s="66" t="b">
        <v>1</v>
      </c>
      <c r="J246" s="71"/>
      <c r="K246" s="68">
        <v>45905.0</v>
      </c>
      <c r="L246" s="69" t="str">
        <f t="shared" si="1"/>
        <v>on set</v>
      </c>
    </row>
    <row r="247" ht="22.5" customHeight="1">
      <c r="A247" s="59">
        <v>246.0</v>
      </c>
      <c r="B247" s="60" t="s">
        <v>18</v>
      </c>
      <c r="C247" s="61">
        <v>6.0</v>
      </c>
      <c r="D247" s="63"/>
      <c r="E247" s="60" t="s">
        <v>30</v>
      </c>
      <c r="F247" s="60" t="s">
        <v>39</v>
      </c>
      <c r="G247" s="70">
        <v>45845.0</v>
      </c>
      <c r="H247" s="65">
        <f>IF(B247 = "Smile", G247 + 'Over View'!$B$3, IF(B247 = "Bianco" , G247 + 'Over View'!$B$4, IF(B247 = "Giallo" , G247 + 'Over View'!$B$5, IF(B247 = "Blu" , G247 + 'Over View'!$B$6, IF(B247 = "Verde" , G247 + 'Over View'!$B$7, IF(B247 = "Rosso" , G247 + 'Over View'!$B$8, "Grado Non Inserito") )))))</f>
        <v>45875</v>
      </c>
      <c r="I247" s="66" t="b">
        <v>1</v>
      </c>
      <c r="J247" s="71"/>
      <c r="K247" s="68">
        <v>45905.0</v>
      </c>
      <c r="L247" s="69" t="str">
        <f t="shared" si="1"/>
        <v>on set</v>
      </c>
    </row>
    <row r="248" ht="22.5" customHeight="1">
      <c r="A248" s="59">
        <v>247.0</v>
      </c>
      <c r="B248" s="60" t="s">
        <v>18</v>
      </c>
      <c r="C248" s="61">
        <v>20.0</v>
      </c>
      <c r="D248" s="60" t="s">
        <v>19</v>
      </c>
      <c r="E248" s="60" t="s">
        <v>30</v>
      </c>
      <c r="F248" s="60" t="s">
        <v>36</v>
      </c>
      <c r="G248" s="70">
        <v>45859.0</v>
      </c>
      <c r="H248" s="65">
        <f>IF(B248 = "Smile", G248 + 'Over View'!$B$3, IF(B248 = "Bianco" , G248 + 'Over View'!$B$4, IF(B248 = "Giallo" , G248 + 'Over View'!$B$5, IF(B248 = "Blu" , G248 + 'Over View'!$B$6, IF(B248 = "Verde" , G248 + 'Over View'!$B$7, IF(B248 = "Rosso" , G248 + 'Over View'!$B$8, "Grado Non Inserito") )))))</f>
        <v>45889</v>
      </c>
      <c r="I248" s="66" t="b">
        <v>1</v>
      </c>
      <c r="J248" s="71"/>
      <c r="K248" s="68">
        <v>45905.0</v>
      </c>
      <c r="L248" s="69" t="str">
        <f t="shared" si="1"/>
        <v>on set</v>
      </c>
    </row>
    <row r="249" ht="22.5" customHeight="1">
      <c r="A249" s="59">
        <v>248.0</v>
      </c>
      <c r="B249" s="60" t="s">
        <v>23</v>
      </c>
      <c r="C249" s="61">
        <v>1.0</v>
      </c>
      <c r="D249" s="60" t="s">
        <v>18</v>
      </c>
      <c r="E249" s="60" t="s">
        <v>30</v>
      </c>
      <c r="F249" s="60" t="s">
        <v>39</v>
      </c>
      <c r="G249" s="70">
        <v>45845.0</v>
      </c>
      <c r="H249" s="65">
        <f>IF(B249 = "Smile", G249 + 'Over View'!$B$3, IF(B249 = "Bianco" , G249 + 'Over View'!$B$4, IF(B249 = "Giallo" , G249 + 'Over View'!$B$5, IF(B249 = "Blu" , G249 + 'Over View'!$B$6, IF(B249 = "Verde" , G249 + 'Over View'!$B$7, IF(B249 = "Rosso" , G249 + 'Over View'!$B$8, "Grado Non Inserito") )))))</f>
        <v>45866</v>
      </c>
      <c r="I249" s="66" t="b">
        <v>1</v>
      </c>
      <c r="J249" s="71"/>
      <c r="K249" s="68">
        <v>45905.0</v>
      </c>
      <c r="L249" s="69" t="str">
        <f t="shared" si="1"/>
        <v>on set</v>
      </c>
    </row>
    <row r="250" ht="22.5" customHeight="1">
      <c r="A250" s="59">
        <v>249.0</v>
      </c>
      <c r="B250" s="60" t="s">
        <v>16</v>
      </c>
      <c r="C250" s="61">
        <v>5.0</v>
      </c>
      <c r="D250" s="60" t="s">
        <v>12</v>
      </c>
      <c r="E250" s="60" t="s">
        <v>30</v>
      </c>
      <c r="F250" s="60" t="s">
        <v>39</v>
      </c>
      <c r="G250" s="70">
        <v>45845.0</v>
      </c>
      <c r="H250" s="65">
        <f>IF(B250 = "Smile", G250 + 'Over View'!$B$3, IF(B250 = "Bianco" , G250 + 'Over View'!$B$4, IF(B250 = "Giallo" , G250 + 'Over View'!$B$5, IF(B250 = "Blu" , G250 + 'Over View'!$B$6, IF(B250 = "Verde" , G250 + 'Over View'!$B$7, IF(B250 = "Rosso" , G250 + 'Over View'!$B$8, "Grado Non Inserito") )))))</f>
        <v>45859</v>
      </c>
      <c r="I250" s="66" t="b">
        <v>1</v>
      </c>
      <c r="J250" s="71"/>
      <c r="K250" s="68">
        <v>45905.0</v>
      </c>
      <c r="L250" s="69" t="str">
        <f t="shared" si="1"/>
        <v>on set</v>
      </c>
    </row>
    <row r="251" ht="22.5" customHeight="1">
      <c r="A251" s="59">
        <v>250.0</v>
      </c>
      <c r="B251" s="60" t="s">
        <v>16</v>
      </c>
      <c r="C251" s="61">
        <v>4.0</v>
      </c>
      <c r="D251" s="60" t="s">
        <v>11</v>
      </c>
      <c r="E251" s="60" t="s">
        <v>28</v>
      </c>
      <c r="F251" s="60" t="s">
        <v>14</v>
      </c>
      <c r="G251" s="70">
        <v>45845.0</v>
      </c>
      <c r="H251" s="65">
        <f>IF(B251 = "Smile", G251 + 'Over View'!$B$3, IF(B251 = "Bianco" , G251 + 'Over View'!$B$4, IF(B251 = "Giallo" , G251 + 'Over View'!$B$5, IF(B251 = "Blu" , G251 + 'Over View'!$B$6, IF(B251 = "Verde" , G251 + 'Over View'!$B$7, IF(B251 = "Rosso" , G251 + 'Over View'!$B$8, "Grado Non Inserito") )))))</f>
        <v>45859</v>
      </c>
      <c r="I251" s="66" t="b">
        <v>1</v>
      </c>
      <c r="J251" s="71"/>
      <c r="K251" s="68">
        <v>45905.0</v>
      </c>
      <c r="L251" s="69" t="str">
        <f t="shared" si="1"/>
        <v>on set</v>
      </c>
    </row>
    <row r="252" ht="22.5" customHeight="1">
      <c r="A252" s="59">
        <v>251.0</v>
      </c>
      <c r="B252" s="60" t="s">
        <v>16</v>
      </c>
      <c r="C252" s="61">
        <v>11.0</v>
      </c>
      <c r="D252" s="60" t="s">
        <v>12</v>
      </c>
      <c r="E252" s="60" t="s">
        <v>28</v>
      </c>
      <c r="F252" s="60" t="s">
        <v>36</v>
      </c>
      <c r="G252" s="70">
        <v>45859.0</v>
      </c>
      <c r="H252" s="65">
        <f>IF(B252 = "Smile", G252 + 'Over View'!$B$3, IF(B252 = "Bianco" , G252 + 'Over View'!$B$4, IF(B252 = "Giallo" , G252 + 'Over View'!$B$5, IF(B252 = "Blu" , G252 + 'Over View'!$B$6, IF(B252 = "Verde" , G252 + 'Over View'!$B$7, IF(B252 = "Rosso" , G252 + 'Over View'!$B$8, "Grado Non Inserito") )))))</f>
        <v>45873</v>
      </c>
      <c r="I252" s="66" t="b">
        <v>1</v>
      </c>
      <c r="J252" s="71"/>
      <c r="K252" s="68">
        <v>45905.0</v>
      </c>
      <c r="L252" s="69" t="str">
        <f t="shared" si="1"/>
        <v>on set</v>
      </c>
    </row>
    <row r="253" ht="22.5" customHeight="1">
      <c r="A253" s="59">
        <v>252.0</v>
      </c>
      <c r="B253" s="60" t="s">
        <v>18</v>
      </c>
      <c r="C253" s="61">
        <v>5.0</v>
      </c>
      <c r="D253" s="60" t="s">
        <v>19</v>
      </c>
      <c r="E253" s="60" t="s">
        <v>28</v>
      </c>
      <c r="F253" s="60" t="s">
        <v>36</v>
      </c>
      <c r="G253" s="70">
        <v>45845.0</v>
      </c>
      <c r="H253" s="65">
        <f>IF(B253 = "Smile", G253 + 'Over View'!$B$3, IF(B253 = "Bianco" , G253 + 'Over View'!$B$4, IF(B253 = "Giallo" , G253 + 'Over View'!$B$5, IF(B253 = "Blu" , G253 + 'Over View'!$B$6, IF(B253 = "Verde" , G253 + 'Over View'!$B$7, IF(B253 = "Rosso" , G253 + 'Over View'!$B$8, "Grado Non Inserito") )))))</f>
        <v>45875</v>
      </c>
      <c r="I253" s="66" t="b">
        <v>1</v>
      </c>
      <c r="J253" s="71"/>
      <c r="K253" s="68">
        <v>45905.0</v>
      </c>
      <c r="L253" s="69" t="str">
        <f t="shared" si="1"/>
        <v>on set</v>
      </c>
    </row>
    <row r="254" ht="22.5" customHeight="1">
      <c r="A254" s="59">
        <v>253.0</v>
      </c>
      <c r="B254" s="60" t="s">
        <v>21</v>
      </c>
      <c r="C254" s="61">
        <v>3.0</v>
      </c>
      <c r="D254" s="60" t="s">
        <v>18</v>
      </c>
      <c r="E254" s="60" t="s">
        <v>28</v>
      </c>
      <c r="F254" s="60" t="s">
        <v>14</v>
      </c>
      <c r="G254" s="70">
        <v>45845.0</v>
      </c>
      <c r="H254" s="65">
        <f>IF(B254 = "Smile", G254 + 'Over View'!$B$3, IF(B254 = "Bianco" , G254 + 'Over View'!$B$4, IF(B254 = "Giallo" , G254 + 'Over View'!$B$5, IF(B254 = "Blu" , G254 + 'Over View'!$B$6, IF(B254 = "Verde" , G254 + 'Over View'!$B$7, IF(B254 = "Rosso" , G254 + 'Over View'!$B$8, "Grado Non Inserito") )))))</f>
        <v>45859</v>
      </c>
      <c r="I254" s="66" t="b">
        <v>1</v>
      </c>
      <c r="J254" s="71"/>
      <c r="K254" s="68">
        <v>45905.0</v>
      </c>
      <c r="L254" s="69" t="str">
        <f t="shared" si="1"/>
        <v>on set</v>
      </c>
    </row>
    <row r="255" ht="22.5" customHeight="1">
      <c r="A255" s="59">
        <v>254.0</v>
      </c>
      <c r="B255" s="60" t="s">
        <v>18</v>
      </c>
      <c r="C255" s="61">
        <v>4.0</v>
      </c>
      <c r="D255" s="63"/>
      <c r="E255" s="60" t="s">
        <v>28</v>
      </c>
      <c r="F255" s="63"/>
      <c r="G255" s="70">
        <v>45845.0</v>
      </c>
      <c r="H255" s="65">
        <f>IF(B255 = "Smile", G255 + 'Over View'!$B$3, IF(B255 = "Bianco" , G255 + 'Over View'!$B$4, IF(B255 = "Giallo" , G255 + 'Over View'!$B$5, IF(B255 = "Blu" , G255 + 'Over View'!$B$6, IF(B255 = "Verde" , G255 + 'Over View'!$B$7, IF(B255 = "Rosso" , G255 + 'Over View'!$B$8, "Grado Non Inserito") )))))</f>
        <v>45875</v>
      </c>
      <c r="I255" s="66" t="b">
        <v>1</v>
      </c>
      <c r="J255" s="71"/>
      <c r="K255" s="68">
        <v>45905.0</v>
      </c>
      <c r="L255" s="69" t="str">
        <f t="shared" si="1"/>
        <v>on set</v>
      </c>
    </row>
    <row r="256" ht="22.5" customHeight="1">
      <c r="A256" s="59">
        <v>255.0</v>
      </c>
      <c r="B256" s="60" t="s">
        <v>12</v>
      </c>
      <c r="C256" s="61">
        <v>2.0</v>
      </c>
      <c r="D256" s="60" t="s">
        <v>23</v>
      </c>
      <c r="E256" s="60" t="s">
        <v>28</v>
      </c>
      <c r="F256" s="60" t="s">
        <v>14</v>
      </c>
      <c r="G256" s="70">
        <v>45845.0</v>
      </c>
      <c r="H256" s="65">
        <f>IF(B256 = "Smile", G256 + 'Over View'!$B$3, IF(B256 = "Bianco" , G256 + 'Over View'!$B$4, IF(B256 = "Giallo" , G256 + 'Over View'!$B$5, IF(B256 = "Blu" , G256 + 'Over View'!$B$6, IF(B256 = "Verde" , G256 + 'Over View'!$B$7, IF(B256 = "Rosso" , G256 + 'Over View'!$B$8, "Grado Non Inserito") )))))</f>
        <v>45875</v>
      </c>
      <c r="I256" s="66" t="b">
        <v>1</v>
      </c>
      <c r="J256" s="71"/>
      <c r="K256" s="68">
        <v>45905.0</v>
      </c>
      <c r="L256" s="69" t="str">
        <f t="shared" si="1"/>
        <v>on set</v>
      </c>
    </row>
    <row r="257" ht="22.5" customHeight="1">
      <c r="A257" s="59">
        <v>256.0</v>
      </c>
      <c r="B257" s="60" t="s">
        <v>21</v>
      </c>
      <c r="C257" s="61">
        <v>17.0</v>
      </c>
      <c r="D257" s="63"/>
      <c r="E257" s="60" t="s">
        <v>26</v>
      </c>
      <c r="F257" s="60" t="s">
        <v>40</v>
      </c>
      <c r="G257" s="70">
        <v>45859.0</v>
      </c>
      <c r="H257" s="65">
        <f>IF(B257 = "Smile", G257 + 'Over View'!$B$3, IF(B257 = "Bianco" , G257 + 'Over View'!$B$4, IF(B257 = "Giallo" , G257 + 'Over View'!$B$5, IF(B257 = "Blu" , G257 + 'Over View'!$B$6, IF(B257 = "Verde" , G257 + 'Over View'!$B$7, IF(B257 = "Rosso" , G257 + 'Over View'!$B$8, "Grado Non Inserito") )))))</f>
        <v>45873</v>
      </c>
      <c r="I257" s="66" t="b">
        <v>1</v>
      </c>
      <c r="J257" s="71"/>
      <c r="K257" s="68">
        <v>45905.0</v>
      </c>
      <c r="L257" s="69" t="str">
        <f t="shared" si="1"/>
        <v>on set</v>
      </c>
    </row>
    <row r="258" ht="22.5" customHeight="1">
      <c r="A258" s="59">
        <v>257.0</v>
      </c>
      <c r="B258" s="60" t="s">
        <v>12</v>
      </c>
      <c r="C258" s="61">
        <v>1.0</v>
      </c>
      <c r="D258" s="60" t="s">
        <v>11</v>
      </c>
      <c r="E258" s="60" t="s">
        <v>26</v>
      </c>
      <c r="F258" s="60" t="s">
        <v>14</v>
      </c>
      <c r="G258" s="70">
        <v>45845.0</v>
      </c>
      <c r="H258" s="65">
        <f>IF(B258 = "Smile", G258 + 'Over View'!$B$3, IF(B258 = "Bianco" , G258 + 'Over View'!$B$4, IF(B258 = "Giallo" , G258 + 'Over View'!$B$5, IF(B258 = "Blu" , G258 + 'Over View'!$B$6, IF(B258 = "Verde" , G258 + 'Over View'!$B$7, IF(B258 = "Rosso" , G258 + 'Over View'!$B$8, "Grado Non Inserito") )))))</f>
        <v>45875</v>
      </c>
      <c r="I258" s="66" t="b">
        <v>1</v>
      </c>
      <c r="J258" s="71"/>
      <c r="K258" s="68">
        <v>45905.0</v>
      </c>
      <c r="L258" s="69" t="str">
        <f t="shared" si="1"/>
        <v>on set</v>
      </c>
    </row>
    <row r="259" ht="22.5" customHeight="1">
      <c r="A259" s="59">
        <v>258.0</v>
      </c>
      <c r="B259" s="60" t="s">
        <v>18</v>
      </c>
      <c r="C259" s="61">
        <v>16.0</v>
      </c>
      <c r="D259" s="63"/>
      <c r="E259" s="60" t="s">
        <v>26</v>
      </c>
      <c r="F259" s="60" t="s">
        <v>40</v>
      </c>
      <c r="G259" s="70">
        <v>45868.0</v>
      </c>
      <c r="H259" s="65">
        <f>IF(B259 = "Smile", G259 + 'Over View'!$B$3, IF(B259 = "Bianco" , G259 + 'Over View'!$B$4, IF(B259 = "Giallo" , G259 + 'Over View'!$B$5, IF(B259 = "Blu" , G259 + 'Over View'!$B$6, IF(B259 = "Verde" , G259 + 'Over View'!$B$7, IF(B259 = "Rosso" , G259 + 'Over View'!$B$8, "Grado Non Inserito") )))))</f>
        <v>45898</v>
      </c>
      <c r="I259" s="66" t="b">
        <v>1</v>
      </c>
      <c r="J259" s="71"/>
      <c r="K259" s="68">
        <v>45905.0</v>
      </c>
      <c r="L259" s="69" t="str">
        <f t="shared" si="1"/>
        <v>on set</v>
      </c>
    </row>
    <row r="260" ht="22.5" customHeight="1">
      <c r="A260" s="59">
        <v>259.0</v>
      </c>
      <c r="B260" s="60" t="s">
        <v>21</v>
      </c>
      <c r="C260" s="74"/>
      <c r="D260" s="60" t="s">
        <v>23</v>
      </c>
      <c r="E260" s="60" t="s">
        <v>26</v>
      </c>
      <c r="F260" s="60" t="s">
        <v>40</v>
      </c>
      <c r="G260" s="70">
        <v>45845.0</v>
      </c>
      <c r="H260" s="65">
        <f>IF(B260 = "Smile", G260 + 'Over View'!$B$3, IF(B260 = "Bianco" , G260 + 'Over View'!$B$4, IF(B260 = "Giallo" , G260 + 'Over View'!$B$5, IF(B260 = "Blu" , G260 + 'Over View'!$B$6, IF(B260 = "Verde" , G260 + 'Over View'!$B$7, IF(B260 = "Rosso" , G260 + 'Over View'!$B$8, "Grado Non Inserito") )))))</f>
        <v>45859</v>
      </c>
      <c r="I260" s="66" t="b">
        <v>1</v>
      </c>
      <c r="J260" s="71"/>
      <c r="K260" s="68">
        <v>45905.0</v>
      </c>
      <c r="L260" s="69" t="str">
        <f t="shared" si="1"/>
        <v>on set</v>
      </c>
    </row>
    <row r="261" ht="22.5" customHeight="1">
      <c r="A261" s="59">
        <v>260.0</v>
      </c>
      <c r="B261" s="60" t="s">
        <v>11</v>
      </c>
      <c r="C261" s="61">
        <v>2.0</v>
      </c>
      <c r="D261" s="60" t="s">
        <v>19</v>
      </c>
      <c r="E261" s="60" t="s">
        <v>26</v>
      </c>
      <c r="F261" s="60" t="s">
        <v>14</v>
      </c>
      <c r="G261" s="70">
        <v>45845.0</v>
      </c>
      <c r="H261" s="65">
        <f>IF(B261 = "Smile", G261 + 'Over View'!$B$3, IF(B261 = "Bianco" , G261 + 'Over View'!$B$4, IF(B261 = "Giallo" , G261 + 'Over View'!$B$5, IF(B261 = "Blu" , G261 + 'Over View'!$B$6, IF(B261 = "Verde" , G261 + 'Over View'!$B$7, IF(B261 = "Rosso" , G261 + 'Over View'!$B$8, "Grado Non Inserito") )))))</f>
        <v>45866</v>
      </c>
      <c r="I261" s="66" t="b">
        <v>1</v>
      </c>
      <c r="J261" s="71"/>
      <c r="K261" s="68">
        <v>45905.0</v>
      </c>
      <c r="L261" s="69" t="str">
        <f t="shared" si="1"/>
        <v>on set</v>
      </c>
    </row>
    <row r="262" ht="22.5" customHeight="1">
      <c r="A262" s="59">
        <v>261.0</v>
      </c>
      <c r="B262" s="60" t="s">
        <v>18</v>
      </c>
      <c r="C262" s="61">
        <v>3.0</v>
      </c>
      <c r="D262" s="60" t="s">
        <v>12</v>
      </c>
      <c r="E262" s="60" t="s">
        <v>20</v>
      </c>
      <c r="F262" s="60" t="s">
        <v>40</v>
      </c>
      <c r="G262" s="70">
        <v>45845.0</v>
      </c>
      <c r="H262" s="65">
        <f>IF(B262 = "Smile", G262 + 'Over View'!$B$3, IF(B262 = "Bianco" , G262 + 'Over View'!$B$4, IF(B262 = "Giallo" , G262 + 'Over View'!$B$5, IF(B262 = "Blu" , G262 + 'Over View'!$B$6, IF(B262 = "Verde" , G262 + 'Over View'!$B$7, IF(B262 = "Rosso" , G262 + 'Over View'!$B$8, "Grado Non Inserito") )))))</f>
        <v>45875</v>
      </c>
      <c r="I262" s="66" t="b">
        <v>1</v>
      </c>
      <c r="J262" s="71"/>
      <c r="K262" s="68">
        <v>45905.0</v>
      </c>
      <c r="L262" s="69" t="str">
        <f t="shared" si="1"/>
        <v>on set</v>
      </c>
    </row>
    <row r="263" ht="22.5" customHeight="1">
      <c r="A263" s="59">
        <v>262.0</v>
      </c>
      <c r="B263" s="60" t="s">
        <v>16</v>
      </c>
      <c r="C263" s="61">
        <v>3.0</v>
      </c>
      <c r="D263" s="60" t="s">
        <v>11</v>
      </c>
      <c r="E263" s="60" t="s">
        <v>20</v>
      </c>
      <c r="F263" s="63"/>
      <c r="G263" s="70">
        <v>45845.0</v>
      </c>
      <c r="H263" s="65">
        <f>IF(B263 = "Smile", G263 + 'Over View'!$B$3, IF(B263 = "Bianco" , G263 + 'Over View'!$B$4, IF(B263 = "Giallo" , G263 + 'Over View'!$B$5, IF(B263 = "Blu" , G263 + 'Over View'!$B$6, IF(B263 = "Verde" , G263 + 'Over View'!$B$7, IF(B263 = "Rosso" , G263 + 'Over View'!$B$8, "Grado Non Inserito") )))))</f>
        <v>45859</v>
      </c>
      <c r="I263" s="66" t="b">
        <v>1</v>
      </c>
      <c r="J263" s="71"/>
      <c r="K263" s="68">
        <v>45905.0</v>
      </c>
      <c r="L263" s="69" t="str">
        <f t="shared" si="1"/>
        <v>on set</v>
      </c>
    </row>
    <row r="264" ht="22.5" customHeight="1">
      <c r="A264" s="59">
        <v>263.0</v>
      </c>
      <c r="B264" s="60" t="s">
        <v>21</v>
      </c>
      <c r="C264" s="61">
        <v>1.0</v>
      </c>
      <c r="D264" s="63"/>
      <c r="E264" s="60" t="s">
        <v>20</v>
      </c>
      <c r="F264" s="63"/>
      <c r="G264" s="70">
        <v>45845.0</v>
      </c>
      <c r="H264" s="65">
        <f>IF(B264 = "Smile", G264 + 'Over View'!$B$3, IF(B264 = "Bianco" , G264 + 'Over View'!$B$4, IF(B264 = "Giallo" , G264 + 'Over View'!$B$5, IF(B264 = "Blu" , G264 + 'Over View'!$B$6, IF(B264 = "Verde" , G264 + 'Over View'!$B$7, IF(B264 = "Rosso" , G264 + 'Over View'!$B$8, "Grado Non Inserito") )))))</f>
        <v>45859</v>
      </c>
      <c r="I264" s="66" t="b">
        <v>1</v>
      </c>
      <c r="J264" s="71"/>
      <c r="K264" s="68">
        <v>45905.0</v>
      </c>
      <c r="L264" s="69" t="str">
        <f t="shared" si="1"/>
        <v>on set</v>
      </c>
    </row>
    <row r="265" ht="22.5" customHeight="1">
      <c r="A265" s="59">
        <v>264.0</v>
      </c>
      <c r="B265" s="60" t="s">
        <v>18</v>
      </c>
      <c r="C265" s="61">
        <v>2.0</v>
      </c>
      <c r="D265" s="60" t="s">
        <v>19</v>
      </c>
      <c r="E265" s="60" t="s">
        <v>20</v>
      </c>
      <c r="F265" s="60" t="s">
        <v>36</v>
      </c>
      <c r="G265" s="70">
        <v>45845.0</v>
      </c>
      <c r="H265" s="65">
        <f>IF(B265 = "Smile", G265 + 'Over View'!$B$3, IF(B265 = "Bianco" , G265 + 'Over View'!$B$4, IF(B265 = "Giallo" , G265 + 'Over View'!$B$5, IF(B265 = "Blu" , G265 + 'Over View'!$B$6, IF(B265 = "Verde" , G265 + 'Over View'!$B$7, IF(B265 = "Rosso" , G265 + 'Over View'!$B$8, "Grado Non Inserito") )))))</f>
        <v>45875</v>
      </c>
      <c r="I265" s="66" t="b">
        <v>1</v>
      </c>
      <c r="J265" s="71"/>
      <c r="K265" s="68">
        <v>45905.0</v>
      </c>
      <c r="L265" s="69" t="str">
        <f t="shared" si="1"/>
        <v>on set</v>
      </c>
    </row>
    <row r="266" ht="22.5" customHeight="1">
      <c r="A266" s="59">
        <v>265.0</v>
      </c>
      <c r="B266" s="60" t="s">
        <v>16</v>
      </c>
      <c r="C266" s="61">
        <v>2.0</v>
      </c>
      <c r="D266" s="63"/>
      <c r="E266" s="60" t="s">
        <v>20</v>
      </c>
      <c r="F266" s="60" t="s">
        <v>14</v>
      </c>
      <c r="G266" s="70">
        <v>45845.0</v>
      </c>
      <c r="H266" s="65">
        <f>IF(B266 = "Smile", G266 + 'Over View'!$B$3, IF(B266 = "Bianco" , G266 + 'Over View'!$B$4, IF(B266 = "Giallo" , G266 + 'Over View'!$B$5, IF(B266 = "Blu" , G266 + 'Over View'!$B$6, IF(B266 = "Verde" , G266 + 'Over View'!$B$7, IF(B266 = "Rosso" , G266 + 'Over View'!$B$8, "Grado Non Inserito") )))))</f>
        <v>45859</v>
      </c>
      <c r="I266" s="66" t="b">
        <v>1</v>
      </c>
      <c r="J266" s="71"/>
      <c r="K266" s="68">
        <v>45905.0</v>
      </c>
      <c r="L266" s="69" t="str">
        <f t="shared" si="1"/>
        <v>on set</v>
      </c>
    </row>
    <row r="267" ht="22.5" customHeight="1">
      <c r="A267" s="59">
        <v>266.0</v>
      </c>
      <c r="B267" s="60" t="s">
        <v>18</v>
      </c>
      <c r="C267" s="61">
        <v>1.0</v>
      </c>
      <c r="D267" s="60" t="s">
        <v>18</v>
      </c>
      <c r="E267" s="60" t="s">
        <v>13</v>
      </c>
      <c r="F267" s="60" t="s">
        <v>40</v>
      </c>
      <c r="G267" s="70">
        <v>45845.0</v>
      </c>
      <c r="H267" s="65">
        <f>IF(B267 = "Smile", G267 + 'Over View'!$B$3, IF(B267 = "Bianco" , G267 + 'Over View'!$B$4, IF(B267 = "Giallo" , G267 + 'Over View'!$B$5, IF(B267 = "Blu" , G267 + 'Over View'!$B$6, IF(B267 = "Verde" , G267 + 'Over View'!$B$7, IF(B267 = "Rosso" , G267 + 'Over View'!$B$8, "Grado Non Inserito") )))))</f>
        <v>45875</v>
      </c>
      <c r="I267" s="66" t="b">
        <v>1</v>
      </c>
      <c r="J267" s="71"/>
      <c r="K267" s="68">
        <v>45905.0</v>
      </c>
      <c r="L267" s="69" t="str">
        <f t="shared" si="1"/>
        <v>on set</v>
      </c>
    </row>
    <row r="268" ht="22.5" customHeight="1">
      <c r="A268" s="59">
        <v>267.0</v>
      </c>
      <c r="B268" s="60" t="s">
        <v>12</v>
      </c>
      <c r="C268" s="61">
        <v>9.0</v>
      </c>
      <c r="D268" s="60" t="s">
        <v>25</v>
      </c>
      <c r="E268" s="60" t="s">
        <v>13</v>
      </c>
      <c r="F268" s="60" t="s">
        <v>36</v>
      </c>
      <c r="G268" s="70">
        <v>45859.0</v>
      </c>
      <c r="H268" s="65">
        <f>IF(B268 = "Smile", G268 + 'Over View'!$B$3, IF(B268 = "Bianco" , G268 + 'Over View'!$B$4, IF(B268 = "Giallo" , G268 + 'Over View'!$B$5, IF(B268 = "Blu" , G268 + 'Over View'!$B$6, IF(B268 = "Verde" , G268 + 'Over View'!$B$7, IF(B268 = "Rosso" , G268 + 'Over View'!$B$8, "Grado Non Inserito") )))))</f>
        <v>45889</v>
      </c>
      <c r="I268" s="66" t="b">
        <v>1</v>
      </c>
      <c r="J268" s="71"/>
      <c r="K268" s="68">
        <v>45905.0</v>
      </c>
      <c r="L268" s="69" t="str">
        <f t="shared" si="1"/>
        <v>on set</v>
      </c>
    </row>
    <row r="269" ht="22.5" customHeight="1">
      <c r="A269" s="59">
        <v>268.0</v>
      </c>
      <c r="B269" s="60" t="s">
        <v>18</v>
      </c>
      <c r="C269" s="61">
        <v>12.0</v>
      </c>
      <c r="D269" s="63"/>
      <c r="E269" s="60" t="s">
        <v>13</v>
      </c>
      <c r="F269" s="60" t="s">
        <v>36</v>
      </c>
      <c r="G269" s="70">
        <v>45859.0</v>
      </c>
      <c r="H269" s="65">
        <f>IF(B269 = "Smile", G269 + 'Over View'!$B$3, IF(B269 = "Bianco" , G269 + 'Over View'!$B$4, IF(B269 = "Giallo" , G269 + 'Over View'!$B$5, IF(B269 = "Blu" , G269 + 'Over View'!$B$6, IF(B269 = "Verde" , G269 + 'Over View'!$B$7, IF(B269 = "Rosso" , G269 + 'Over View'!$B$8, "Grado Non Inserito") )))))</f>
        <v>45889</v>
      </c>
      <c r="I269" s="66" t="b">
        <v>1</v>
      </c>
      <c r="J269" s="71"/>
      <c r="K269" s="68">
        <v>45905.0</v>
      </c>
      <c r="L269" s="69" t="str">
        <f t="shared" si="1"/>
        <v>on set</v>
      </c>
    </row>
    <row r="270" ht="22.5" customHeight="1">
      <c r="A270" s="59">
        <v>269.0</v>
      </c>
      <c r="B270" s="60" t="s">
        <v>12</v>
      </c>
      <c r="C270" s="61">
        <v>8.0</v>
      </c>
      <c r="D270" s="60" t="s">
        <v>19</v>
      </c>
      <c r="E270" s="60" t="s">
        <v>13</v>
      </c>
      <c r="F270" s="60" t="s">
        <v>37</v>
      </c>
      <c r="G270" s="70">
        <v>45866.0</v>
      </c>
      <c r="H270" s="65">
        <f>IF(B270 = "Smile", G270 + 'Over View'!$B$3, IF(B270 = "Bianco" , G270 + 'Over View'!$B$4, IF(B270 = "Giallo" , G270 + 'Over View'!$B$5, IF(B270 = "Blu" , G270 + 'Over View'!$B$6, IF(B270 = "Verde" , G270 + 'Over View'!$B$7, IF(B270 = "Rosso" , G270 + 'Over View'!$B$8, "Grado Non Inserito") )))))</f>
        <v>45896</v>
      </c>
      <c r="I270" s="66" t="b">
        <v>1</v>
      </c>
      <c r="J270" s="71"/>
      <c r="K270" s="68">
        <v>45905.0</v>
      </c>
      <c r="L270" s="69" t="str">
        <f t="shared" si="1"/>
        <v>on set</v>
      </c>
    </row>
    <row r="271" ht="22.5" customHeight="1">
      <c r="A271" s="59">
        <v>270.0</v>
      </c>
      <c r="B271" s="60" t="s">
        <v>16</v>
      </c>
      <c r="C271" s="61">
        <v>1.0</v>
      </c>
      <c r="D271" s="63"/>
      <c r="E271" s="60" t="s">
        <v>13</v>
      </c>
      <c r="F271" s="60" t="s">
        <v>39</v>
      </c>
      <c r="G271" s="70">
        <v>45845.0</v>
      </c>
      <c r="H271" s="65">
        <f>IF(B271 = "Smile", G271 + 'Over View'!$B$3, IF(B271 = "Bianco" , G271 + 'Over View'!$B$4, IF(B271 = "Giallo" , G271 + 'Over View'!$B$5, IF(B271 = "Blu" , G271 + 'Over View'!$B$6, IF(B271 = "Verde" , G271 + 'Over View'!$B$7, IF(B271 = "Rosso" , G271 + 'Over View'!$B$8, "Grado Non Inserito") )))))</f>
        <v>45859</v>
      </c>
      <c r="I271" s="66" t="b">
        <v>1</v>
      </c>
      <c r="J271" s="71"/>
      <c r="K271" s="68">
        <v>45905.0</v>
      </c>
      <c r="L271" s="69" t="str">
        <f t="shared" si="1"/>
        <v>on set</v>
      </c>
    </row>
    <row r="272" ht="22.5" customHeight="1">
      <c r="A272" s="59">
        <v>271.0</v>
      </c>
      <c r="B272" s="60" t="s">
        <v>11</v>
      </c>
      <c r="C272" s="61">
        <v>1.0</v>
      </c>
      <c r="D272" s="60" t="s">
        <v>12</v>
      </c>
      <c r="E272" s="60" t="s">
        <v>13</v>
      </c>
      <c r="F272" s="60" t="s">
        <v>40</v>
      </c>
      <c r="G272" s="70">
        <v>45845.0</v>
      </c>
      <c r="H272" s="65">
        <f>IF(B272 = "Smile", G272 + 'Over View'!$B$3, IF(B272 = "Bianco" , G272 + 'Over View'!$B$4, IF(B272 = "Giallo" , G272 + 'Over View'!$B$5, IF(B272 = "Blu" , G272 + 'Over View'!$B$6, IF(B272 = "Verde" , G272 + 'Over View'!$B$7, IF(B272 = "Rosso" , G272 + 'Over View'!$B$8, "Grado Non Inserito") )))))</f>
        <v>45866</v>
      </c>
      <c r="I272" s="66" t="b">
        <v>1</v>
      </c>
      <c r="J272" s="71"/>
      <c r="K272" s="68">
        <v>45905.0</v>
      </c>
      <c r="L272" s="69" t="str">
        <f t="shared" si="1"/>
        <v>on set</v>
      </c>
    </row>
    <row r="273" ht="22.5" customHeight="1">
      <c r="A273" s="59">
        <v>272.0</v>
      </c>
      <c r="B273" s="60" t="s">
        <v>11</v>
      </c>
      <c r="C273" s="61">
        <v>8.0</v>
      </c>
      <c r="D273" s="60" t="s">
        <v>18</v>
      </c>
      <c r="E273" s="60" t="s">
        <v>32</v>
      </c>
      <c r="F273" s="60" t="s">
        <v>37</v>
      </c>
      <c r="G273" s="70">
        <v>45866.0</v>
      </c>
      <c r="H273" s="65">
        <f>IF(B273 = "Smile", G273 + 'Over View'!$B$3, IF(B273 = "Bianco" , G273 + 'Over View'!$B$4, IF(B273 = "Giallo" , G273 + 'Over View'!$B$5, IF(B273 = "Blu" , G273 + 'Over View'!$B$6, IF(B273 = "Verde" , G273 + 'Over View'!$B$7, IF(B273 = "Rosso" , G273 + 'Over View'!$B$8, "Grado Non Inserito") )))))</f>
        <v>45887</v>
      </c>
      <c r="I273" s="66" t="b">
        <v>1</v>
      </c>
      <c r="J273" s="71"/>
      <c r="K273" s="68">
        <v>45905.0</v>
      </c>
      <c r="L273" s="69" t="str">
        <f t="shared" si="1"/>
        <v>on set</v>
      </c>
    </row>
    <row r="274" ht="22.5" customHeight="1">
      <c r="A274" s="59">
        <v>273.0</v>
      </c>
      <c r="B274" s="63"/>
      <c r="C274" s="74"/>
      <c r="D274" s="63"/>
      <c r="E274" s="63"/>
      <c r="F274" s="63"/>
      <c r="G274" s="65"/>
      <c r="H274" s="75" t="str">
        <f>IF(B274 = "Smile", G274 + 'Over View'!$B$3, IF(B274 = "Bianco" , G274 + 'Over View'!$B$4, IF(B274 = "Giallo" , G274 + 'Over View'!$B$5, IF(B274 = "Blu" , G274 + 'Over View'!$B$6, IF(B274 = "Verde" , G274 + 'Over View'!$B$7, IF(B274 = "Rosso" , G274 + 'Over View'!$B$8, "Grado Non Inserito") )))))</f>
        <v>Grado Non Inserito</v>
      </c>
      <c r="I274" s="66" t="b">
        <v>0</v>
      </c>
      <c r="J274" s="71"/>
      <c r="K274" s="72"/>
      <c r="L274" s="69" t="str">
        <f t="shared" si="1"/>
        <v>off set</v>
      </c>
    </row>
    <row r="275" ht="22.5" customHeight="1">
      <c r="A275" s="59">
        <v>274.0</v>
      </c>
      <c r="B275" s="63"/>
      <c r="C275" s="74"/>
      <c r="D275" s="63"/>
      <c r="E275" s="63"/>
      <c r="F275" s="63"/>
      <c r="G275" s="65"/>
      <c r="H275" s="75" t="str">
        <f>IF(B275 = "Smile", G275 + 'Over View'!$B$3, IF(B275 = "Bianco" , G275 + 'Over View'!$B$4, IF(B275 = "Giallo" , G275 + 'Over View'!$B$5, IF(B275 = "Blu" , G275 + 'Over View'!$B$6, IF(B275 = "Verde" , G275 + 'Over View'!$B$7, IF(B275 = "Rosso" , G275 + 'Over View'!$B$8, "Grado Non Inserito") )))))</f>
        <v>Grado Non Inserito</v>
      </c>
      <c r="I275" s="66" t="b">
        <v>0</v>
      </c>
      <c r="J275" s="71"/>
      <c r="K275" s="72"/>
      <c r="L275" s="69" t="str">
        <f t="shared" si="1"/>
        <v>off set</v>
      </c>
    </row>
    <row r="276" ht="22.5" customHeight="1">
      <c r="A276" s="59">
        <v>275.0</v>
      </c>
      <c r="B276" s="63"/>
      <c r="C276" s="74"/>
      <c r="D276" s="63"/>
      <c r="E276" s="63"/>
      <c r="F276" s="63"/>
      <c r="G276" s="65"/>
      <c r="H276" s="75" t="str">
        <f>IF(B276 = "Smile", G276 + 'Over View'!$B$3, IF(B276 = "Bianco" , G276 + 'Over View'!$B$4, IF(B276 = "Giallo" , G276 + 'Over View'!$B$5, IF(B276 = "Blu" , G276 + 'Over View'!$B$6, IF(B276 = "Verde" , G276 + 'Over View'!$B$7, IF(B276 = "Rosso" , G276 + 'Over View'!$B$8, "Grado Non Inserito") )))))</f>
        <v>Grado Non Inserito</v>
      </c>
      <c r="I276" s="66" t="b">
        <v>0</v>
      </c>
      <c r="J276" s="71"/>
      <c r="K276" s="72"/>
      <c r="L276" s="69" t="str">
        <f t="shared" si="1"/>
        <v>off set</v>
      </c>
    </row>
    <row r="277" ht="22.5" customHeight="1">
      <c r="A277" s="59">
        <v>276.0</v>
      </c>
      <c r="B277" s="63"/>
      <c r="C277" s="74"/>
      <c r="D277" s="63"/>
      <c r="E277" s="63"/>
      <c r="F277" s="63"/>
      <c r="G277" s="65"/>
      <c r="H277" s="75" t="str">
        <f>IF(B277 = "Smile", G277 + 'Over View'!$B$3, IF(B277 = "Bianco" , G277 + 'Over View'!$B$4, IF(B277 = "Giallo" , G277 + 'Over View'!$B$5, IF(B277 = "Blu" , G277 + 'Over View'!$B$6, IF(B277 = "Verde" , G277 + 'Over View'!$B$7, IF(B277 = "Rosso" , G277 + 'Over View'!$B$8, "Grado Non Inserito") )))))</f>
        <v>Grado Non Inserito</v>
      </c>
      <c r="I277" s="66" t="b">
        <v>0</v>
      </c>
      <c r="J277" s="71"/>
      <c r="K277" s="72"/>
      <c r="L277" s="69" t="str">
        <f t="shared" si="1"/>
        <v>off set</v>
      </c>
    </row>
    <row r="278" ht="22.5" customHeight="1">
      <c r="A278" s="59">
        <v>277.0</v>
      </c>
      <c r="B278" s="63"/>
      <c r="C278" s="74"/>
      <c r="D278" s="63"/>
      <c r="E278" s="63"/>
      <c r="F278" s="63"/>
      <c r="G278" s="65"/>
      <c r="H278" s="75" t="str">
        <f>IF(B278 = "Smile", G278 + 'Over View'!$B$3, IF(B278 = "Bianco" , G278 + 'Over View'!$B$4, IF(B278 = "Giallo" , G278 + 'Over View'!$B$5, IF(B278 = "Blu" , G278 + 'Over View'!$B$6, IF(B278 = "Verde" , G278 + 'Over View'!$B$7, IF(B278 = "Rosso" , G278 + 'Over View'!$B$8, "Grado Non Inserito") )))))</f>
        <v>Grado Non Inserito</v>
      </c>
      <c r="I278" s="66" t="b">
        <v>0</v>
      </c>
      <c r="J278" s="71"/>
      <c r="K278" s="72"/>
      <c r="L278" s="69" t="str">
        <f t="shared" si="1"/>
        <v>off set</v>
      </c>
    </row>
    <row r="279" ht="22.5" customHeight="1">
      <c r="A279" s="59">
        <v>278.0</v>
      </c>
      <c r="B279" s="63"/>
      <c r="C279" s="74"/>
      <c r="D279" s="63"/>
      <c r="E279" s="63"/>
      <c r="F279" s="63"/>
      <c r="G279" s="65"/>
      <c r="H279" s="75" t="str">
        <f>IF(B279 = "Smile", G279 + 'Over View'!$B$3, IF(B279 = "Bianco" , G279 + 'Over View'!$B$4, IF(B279 = "Giallo" , G279 + 'Over View'!$B$5, IF(B279 = "Blu" , G279 + 'Over View'!$B$6, IF(B279 = "Verde" , G279 + 'Over View'!$B$7, IF(B279 = "Rosso" , G279 + 'Over View'!$B$8, "Grado Non Inserito") )))))</f>
        <v>Grado Non Inserito</v>
      </c>
      <c r="I279" s="66" t="b">
        <v>0</v>
      </c>
      <c r="J279" s="71"/>
      <c r="K279" s="72"/>
      <c r="L279" s="69" t="str">
        <f t="shared" si="1"/>
        <v>off set</v>
      </c>
    </row>
    <row r="280" ht="22.5" customHeight="1">
      <c r="A280" s="59">
        <v>279.0</v>
      </c>
      <c r="B280" s="63"/>
      <c r="C280" s="74"/>
      <c r="D280" s="63"/>
      <c r="E280" s="63"/>
      <c r="F280" s="63"/>
      <c r="G280" s="65"/>
      <c r="H280" s="75" t="str">
        <f>IF(B280 = "Smile", G280 + 'Over View'!$B$3, IF(B280 = "Bianco" , G280 + 'Over View'!$B$4, IF(B280 = "Giallo" , G280 + 'Over View'!$B$5, IF(B280 = "Blu" , G280 + 'Over View'!$B$6, IF(B280 = "Verde" , G280 + 'Over View'!$B$7, IF(B280 = "Rosso" , G280 + 'Over View'!$B$8, "Grado Non Inserito") )))))</f>
        <v>Grado Non Inserito</v>
      </c>
      <c r="I280" s="66" t="b">
        <v>0</v>
      </c>
      <c r="J280" s="71"/>
      <c r="K280" s="72"/>
      <c r="L280" s="69" t="str">
        <f t="shared" si="1"/>
        <v>off set</v>
      </c>
    </row>
    <row r="281" ht="22.5" customHeight="1">
      <c r="A281" s="59">
        <v>280.0</v>
      </c>
      <c r="B281" s="63"/>
      <c r="C281" s="74"/>
      <c r="D281" s="63"/>
      <c r="E281" s="63"/>
      <c r="F281" s="63"/>
      <c r="G281" s="65"/>
      <c r="H281" s="75" t="str">
        <f>IF(B281 = "Smile", G281 + 'Over View'!$B$3, IF(B281 = "Bianco" , G281 + 'Over View'!$B$4, IF(B281 = "Giallo" , G281 + 'Over View'!$B$5, IF(B281 = "Blu" , G281 + 'Over View'!$B$6, IF(B281 = "Verde" , G281 + 'Over View'!$B$7, IF(B281 = "Rosso" , G281 + 'Over View'!$B$8, "Grado Non Inserito") )))))</f>
        <v>Grado Non Inserito</v>
      </c>
      <c r="I281" s="66" t="b">
        <v>0</v>
      </c>
      <c r="J281" s="71"/>
      <c r="K281" s="72"/>
      <c r="L281" s="69" t="str">
        <f t="shared" si="1"/>
        <v>off set</v>
      </c>
    </row>
    <row r="282" ht="22.5" customHeight="1">
      <c r="A282" s="59">
        <v>281.0</v>
      </c>
      <c r="B282" s="63"/>
      <c r="C282" s="74"/>
      <c r="D282" s="63"/>
      <c r="E282" s="63"/>
      <c r="F282" s="63"/>
      <c r="G282" s="65"/>
      <c r="H282" s="75" t="str">
        <f>IF(B282 = "Smile", G282 + 'Over View'!$B$3, IF(B282 = "Bianco" , G282 + 'Over View'!$B$4, IF(B282 = "Giallo" , G282 + 'Over View'!$B$5, IF(B282 = "Blu" , G282 + 'Over View'!$B$6, IF(B282 = "Verde" , G282 + 'Over View'!$B$7, IF(B282 = "Rosso" , G282 + 'Over View'!$B$8, "Grado Non Inserito") )))))</f>
        <v>Grado Non Inserito</v>
      </c>
      <c r="I282" s="66" t="b">
        <v>0</v>
      </c>
      <c r="J282" s="71"/>
      <c r="K282" s="72"/>
      <c r="L282" s="69" t="str">
        <f t="shared" si="1"/>
        <v>off set</v>
      </c>
    </row>
    <row r="283" ht="22.5" customHeight="1">
      <c r="A283" s="59">
        <v>282.0</v>
      </c>
      <c r="B283" s="63"/>
      <c r="C283" s="74"/>
      <c r="D283" s="63"/>
      <c r="E283" s="63"/>
      <c r="F283" s="63"/>
      <c r="G283" s="65"/>
      <c r="H283" s="75" t="str">
        <f>IF(B283 = "Smile", G283 + 'Over View'!$B$3, IF(B283 = "Bianco" , G283 + 'Over View'!$B$4, IF(B283 = "Giallo" , G283 + 'Over View'!$B$5, IF(B283 = "Blu" , G283 + 'Over View'!$B$6, IF(B283 = "Verde" , G283 + 'Over View'!$B$7, IF(B283 = "Rosso" , G283 + 'Over View'!$B$8, "Grado Non Inserito") )))))</f>
        <v>Grado Non Inserito</v>
      </c>
      <c r="I283" s="66" t="b">
        <v>0</v>
      </c>
      <c r="J283" s="71"/>
      <c r="K283" s="72"/>
      <c r="L283" s="69" t="str">
        <f t="shared" si="1"/>
        <v>off set</v>
      </c>
    </row>
    <row r="284" ht="22.5" customHeight="1">
      <c r="A284" s="59">
        <v>283.0</v>
      </c>
      <c r="B284" s="63"/>
      <c r="C284" s="74"/>
      <c r="D284" s="63"/>
      <c r="E284" s="63"/>
      <c r="F284" s="63"/>
      <c r="G284" s="65"/>
      <c r="H284" s="75" t="str">
        <f>IF(B284 = "Smile", G284 + 'Over View'!$B$3, IF(B284 = "Bianco" , G284 + 'Over View'!$B$4, IF(B284 = "Giallo" , G284 + 'Over View'!$B$5, IF(B284 = "Blu" , G284 + 'Over View'!$B$6, IF(B284 = "Verde" , G284 + 'Over View'!$B$7, IF(B284 = "Rosso" , G284 + 'Over View'!$B$8, "Grado Non Inserito") )))))</f>
        <v>Grado Non Inserito</v>
      </c>
      <c r="I284" s="66" t="b">
        <v>0</v>
      </c>
      <c r="J284" s="71"/>
      <c r="K284" s="72"/>
      <c r="L284" s="69" t="str">
        <f t="shared" si="1"/>
        <v>off set</v>
      </c>
    </row>
    <row r="285" ht="22.5" customHeight="1">
      <c r="A285" s="59">
        <v>284.0</v>
      </c>
      <c r="B285" s="63"/>
      <c r="C285" s="74"/>
      <c r="D285" s="63"/>
      <c r="E285" s="63"/>
      <c r="F285" s="63"/>
      <c r="G285" s="65"/>
      <c r="H285" s="75" t="str">
        <f>IF(B285 = "Smile", G285 + 'Over View'!$B$3, IF(B285 = "Bianco" , G285 + 'Over View'!$B$4, IF(B285 = "Giallo" , G285 + 'Over View'!$B$5, IF(B285 = "Blu" , G285 + 'Over View'!$B$6, IF(B285 = "Verde" , G285 + 'Over View'!$B$7, IF(B285 = "Rosso" , G285 + 'Over View'!$B$8, "Grado Non Inserito") )))))</f>
        <v>Grado Non Inserito</v>
      </c>
      <c r="I285" s="66" t="b">
        <v>0</v>
      </c>
      <c r="J285" s="71"/>
      <c r="K285" s="72"/>
      <c r="L285" s="69" t="str">
        <f t="shared" si="1"/>
        <v>off set</v>
      </c>
    </row>
    <row r="286" ht="22.5" customHeight="1">
      <c r="A286" s="59">
        <v>285.0</v>
      </c>
      <c r="B286" s="63"/>
      <c r="C286" s="74"/>
      <c r="D286" s="63"/>
      <c r="E286" s="63"/>
      <c r="F286" s="63"/>
      <c r="G286" s="65"/>
      <c r="H286" s="75" t="str">
        <f>IF(B286 = "Smile", G286 + 'Over View'!$B$3, IF(B286 = "Bianco" , G286 + 'Over View'!$B$4, IF(B286 = "Giallo" , G286 + 'Over View'!$B$5, IF(B286 = "Blu" , G286 + 'Over View'!$B$6, IF(B286 = "Verde" , G286 + 'Over View'!$B$7, IF(B286 = "Rosso" , G286 + 'Over View'!$B$8, "Grado Non Inserito") )))))</f>
        <v>Grado Non Inserito</v>
      </c>
      <c r="I286" s="66" t="b">
        <v>0</v>
      </c>
      <c r="J286" s="71"/>
      <c r="K286" s="72"/>
      <c r="L286" s="69" t="str">
        <f t="shared" si="1"/>
        <v>off set</v>
      </c>
    </row>
    <row r="287" ht="22.5" customHeight="1">
      <c r="A287" s="59">
        <v>286.0</v>
      </c>
      <c r="B287" s="63"/>
      <c r="C287" s="74"/>
      <c r="D287" s="63"/>
      <c r="E287" s="63"/>
      <c r="F287" s="63"/>
      <c r="G287" s="65"/>
      <c r="H287" s="75" t="str">
        <f>IF(B287 = "Smile", G287 + 'Over View'!$B$3, IF(B287 = "Bianco" , G287 + 'Over View'!$B$4, IF(B287 = "Giallo" , G287 + 'Over View'!$B$5, IF(B287 = "Blu" , G287 + 'Over View'!$B$6, IF(B287 = "Verde" , G287 + 'Over View'!$B$7, IF(B287 = "Rosso" , G287 + 'Over View'!$B$8, "Grado Non Inserito") )))))</f>
        <v>Grado Non Inserito</v>
      </c>
      <c r="I287" s="66" t="b">
        <v>0</v>
      </c>
      <c r="J287" s="71"/>
      <c r="K287" s="72"/>
      <c r="L287" s="69" t="str">
        <f t="shared" si="1"/>
        <v>off set</v>
      </c>
    </row>
    <row r="288" ht="22.5" customHeight="1">
      <c r="A288" s="59">
        <v>287.0</v>
      </c>
      <c r="B288" s="63"/>
      <c r="C288" s="74"/>
      <c r="D288" s="63"/>
      <c r="E288" s="63"/>
      <c r="F288" s="63"/>
      <c r="G288" s="65"/>
      <c r="H288" s="75" t="str">
        <f>IF(B288 = "Smile", G288 + 'Over View'!$B$3, IF(B288 = "Bianco" , G288 + 'Over View'!$B$4, IF(B288 = "Giallo" , G288 + 'Over View'!$B$5, IF(B288 = "Blu" , G288 + 'Over View'!$B$6, IF(B288 = "Verde" , G288 + 'Over View'!$B$7, IF(B288 = "Rosso" , G288 + 'Over View'!$B$8, "Grado Non Inserito") )))))</f>
        <v>Grado Non Inserito</v>
      </c>
      <c r="I288" s="66" t="b">
        <v>0</v>
      </c>
      <c r="J288" s="71"/>
      <c r="K288" s="72"/>
      <c r="L288" s="69" t="str">
        <f t="shared" si="1"/>
        <v>off set</v>
      </c>
    </row>
    <row r="289" ht="22.5" customHeight="1">
      <c r="A289" s="59">
        <v>288.0</v>
      </c>
      <c r="B289" s="63"/>
      <c r="C289" s="74"/>
      <c r="D289" s="63"/>
      <c r="E289" s="63"/>
      <c r="F289" s="63"/>
      <c r="G289" s="65"/>
      <c r="H289" s="75" t="str">
        <f>IF(B289 = "Smile", G289 + 'Over View'!$B$3, IF(B289 = "Bianco" , G289 + 'Over View'!$B$4, IF(B289 = "Giallo" , G289 + 'Over View'!$B$5, IF(B289 = "Blu" , G289 + 'Over View'!$B$6, IF(B289 = "Verde" , G289 + 'Over View'!$B$7, IF(B289 = "Rosso" , G289 + 'Over View'!$B$8, "Grado Non Inserito") )))))</f>
        <v>Grado Non Inserito</v>
      </c>
      <c r="I289" s="66" t="b">
        <v>0</v>
      </c>
      <c r="J289" s="71"/>
      <c r="K289" s="72"/>
      <c r="L289" s="69" t="str">
        <f t="shared" si="1"/>
        <v>off set</v>
      </c>
    </row>
    <row r="290" ht="22.5" customHeight="1">
      <c r="A290" s="59">
        <v>289.0</v>
      </c>
      <c r="B290" s="63"/>
      <c r="C290" s="74"/>
      <c r="D290" s="63"/>
      <c r="E290" s="63"/>
      <c r="F290" s="63"/>
      <c r="G290" s="65"/>
      <c r="H290" s="75" t="str">
        <f>IF(B290 = "Smile", G290 + 'Over View'!$B$3, IF(B290 = "Bianco" , G290 + 'Over View'!$B$4, IF(B290 = "Giallo" , G290 + 'Over View'!$B$5, IF(B290 = "Blu" , G290 + 'Over View'!$B$6, IF(B290 = "Verde" , G290 + 'Over View'!$B$7, IF(B290 = "Rosso" , G290 + 'Over View'!$B$8, "Grado Non Inserito") )))))</f>
        <v>Grado Non Inserito</v>
      </c>
      <c r="I290" s="66" t="b">
        <v>0</v>
      </c>
      <c r="J290" s="71"/>
      <c r="K290" s="72"/>
      <c r="L290" s="69" t="str">
        <f t="shared" si="1"/>
        <v>off set</v>
      </c>
    </row>
    <row r="291" ht="22.5" customHeight="1">
      <c r="A291" s="59">
        <v>290.0</v>
      </c>
      <c r="B291" s="63"/>
      <c r="C291" s="74"/>
      <c r="D291" s="63"/>
      <c r="E291" s="63"/>
      <c r="F291" s="63"/>
      <c r="G291" s="65"/>
      <c r="H291" s="75" t="str">
        <f>IF(B291 = "Smile", G291 + 'Over View'!$B$3, IF(B291 = "Bianco" , G291 + 'Over View'!$B$4, IF(B291 = "Giallo" , G291 + 'Over View'!$B$5, IF(B291 = "Blu" , G291 + 'Over View'!$B$6, IF(B291 = "Verde" , G291 + 'Over View'!$B$7, IF(B291 = "Rosso" , G291 + 'Over View'!$B$8, "Grado Non Inserito") )))))</f>
        <v>Grado Non Inserito</v>
      </c>
      <c r="I291" s="66" t="b">
        <v>0</v>
      </c>
      <c r="J291" s="71"/>
      <c r="K291" s="72"/>
      <c r="L291" s="69" t="str">
        <f t="shared" si="1"/>
        <v>off set</v>
      </c>
    </row>
    <row r="292" ht="22.5" customHeight="1">
      <c r="A292" s="59">
        <v>291.0</v>
      </c>
      <c r="B292" s="63"/>
      <c r="C292" s="74"/>
      <c r="D292" s="63"/>
      <c r="E292" s="63"/>
      <c r="F292" s="63"/>
      <c r="G292" s="65"/>
      <c r="H292" s="75" t="str">
        <f>IF(B292 = "Smile", G292 + 'Over View'!$B$3, IF(B292 = "Bianco" , G292 + 'Over View'!$B$4, IF(B292 = "Giallo" , G292 + 'Over View'!$B$5, IF(B292 = "Blu" , G292 + 'Over View'!$B$6, IF(B292 = "Verde" , G292 + 'Over View'!$B$7, IF(B292 = "Rosso" , G292 + 'Over View'!$B$8, "Grado Non Inserito") )))))</f>
        <v>Grado Non Inserito</v>
      </c>
      <c r="I292" s="66" t="b">
        <v>0</v>
      </c>
      <c r="J292" s="71"/>
      <c r="K292" s="72"/>
      <c r="L292" s="69" t="str">
        <f t="shared" si="1"/>
        <v>off set</v>
      </c>
    </row>
    <row r="293" ht="22.5" customHeight="1">
      <c r="A293" s="59">
        <v>292.0</v>
      </c>
      <c r="B293" s="63"/>
      <c r="C293" s="74"/>
      <c r="D293" s="63"/>
      <c r="E293" s="63"/>
      <c r="F293" s="63"/>
      <c r="G293" s="65"/>
      <c r="H293" s="75" t="str">
        <f>IF(B293 = "Smile", G293 + 'Over View'!$B$3, IF(B293 = "Bianco" , G293 + 'Over View'!$B$4, IF(B293 = "Giallo" , G293 + 'Over View'!$B$5, IF(B293 = "Blu" , G293 + 'Over View'!$B$6, IF(B293 = "Verde" , G293 + 'Over View'!$B$7, IF(B293 = "Rosso" , G293 + 'Over View'!$B$8, "Grado Non Inserito") )))))</f>
        <v>Grado Non Inserito</v>
      </c>
      <c r="I293" s="66" t="b">
        <v>0</v>
      </c>
      <c r="J293" s="71"/>
      <c r="K293" s="72"/>
      <c r="L293" s="69" t="str">
        <f t="shared" si="1"/>
        <v>off set</v>
      </c>
    </row>
    <row r="294" ht="22.5" customHeight="1">
      <c r="A294" s="59">
        <v>293.0</v>
      </c>
      <c r="B294" s="63"/>
      <c r="C294" s="74"/>
      <c r="D294" s="63"/>
      <c r="E294" s="63"/>
      <c r="F294" s="63"/>
      <c r="G294" s="65"/>
      <c r="H294" s="75" t="str">
        <f>IF(B294 = "Smile", G294 + 'Over View'!$B$3, IF(B294 = "Bianco" , G294 + 'Over View'!$B$4, IF(B294 = "Giallo" , G294 + 'Over View'!$B$5, IF(B294 = "Blu" , G294 + 'Over View'!$B$6, IF(B294 = "Verde" , G294 + 'Over View'!$B$7, IF(B294 = "Rosso" , G294 + 'Over View'!$B$8, "Grado Non Inserito") )))))</f>
        <v>Grado Non Inserito</v>
      </c>
      <c r="I294" s="66" t="b">
        <v>0</v>
      </c>
      <c r="J294" s="71"/>
      <c r="K294" s="72"/>
      <c r="L294" s="69" t="str">
        <f t="shared" si="1"/>
        <v>off set</v>
      </c>
    </row>
    <row r="295" ht="22.5" customHeight="1">
      <c r="A295" s="59">
        <v>294.0</v>
      </c>
      <c r="B295" s="63"/>
      <c r="C295" s="74"/>
      <c r="D295" s="63"/>
      <c r="E295" s="63"/>
      <c r="F295" s="63"/>
      <c r="G295" s="65"/>
      <c r="H295" s="75" t="str">
        <f>IF(B295 = "Smile", G295 + 'Over View'!$B$3, IF(B295 = "Bianco" , G295 + 'Over View'!$B$4, IF(B295 = "Giallo" , G295 + 'Over View'!$B$5, IF(B295 = "Blu" , G295 + 'Over View'!$B$6, IF(B295 = "Verde" , G295 + 'Over View'!$B$7, IF(B295 = "Rosso" , G295 + 'Over View'!$B$8, "Grado Non Inserito") )))))</f>
        <v>Grado Non Inserito</v>
      </c>
      <c r="I295" s="66" t="b">
        <v>0</v>
      </c>
      <c r="J295" s="71"/>
      <c r="K295" s="72"/>
      <c r="L295" s="69" t="str">
        <f t="shared" si="1"/>
        <v>off set</v>
      </c>
    </row>
    <row r="296" ht="22.5" customHeight="1">
      <c r="A296" s="59">
        <v>295.0</v>
      </c>
      <c r="B296" s="63"/>
      <c r="C296" s="74"/>
      <c r="D296" s="63"/>
      <c r="E296" s="63"/>
      <c r="F296" s="63"/>
      <c r="G296" s="65"/>
      <c r="H296" s="75" t="str">
        <f>IF(B296 = "Smile", G296 + 'Over View'!$B$3, IF(B296 = "Bianco" , G296 + 'Over View'!$B$4, IF(B296 = "Giallo" , G296 + 'Over View'!$B$5, IF(B296 = "Blu" , G296 + 'Over View'!$B$6, IF(B296 = "Verde" , G296 + 'Over View'!$B$7, IF(B296 = "Rosso" , G296 + 'Over View'!$B$8, "Grado Non Inserito") )))))</f>
        <v>Grado Non Inserito</v>
      </c>
      <c r="I296" s="66" t="b">
        <v>0</v>
      </c>
      <c r="J296" s="71"/>
      <c r="K296" s="72"/>
      <c r="L296" s="69" t="str">
        <f t="shared" si="1"/>
        <v>off set</v>
      </c>
    </row>
    <row r="297" ht="22.5" customHeight="1">
      <c r="A297" s="59">
        <v>296.0</v>
      </c>
      <c r="B297" s="63"/>
      <c r="C297" s="74"/>
      <c r="D297" s="63"/>
      <c r="E297" s="63"/>
      <c r="F297" s="63"/>
      <c r="G297" s="65"/>
      <c r="H297" s="75" t="str">
        <f>IF(B297 = "Smile", G297 + 'Over View'!$B$3, IF(B297 = "Bianco" , G297 + 'Over View'!$B$4, IF(B297 = "Giallo" , G297 + 'Over View'!$B$5, IF(B297 = "Blu" , G297 + 'Over View'!$B$6, IF(B297 = "Verde" , G297 + 'Over View'!$B$7, IF(B297 = "Rosso" , G297 + 'Over View'!$B$8, "Grado Non Inserito") )))))</f>
        <v>Grado Non Inserito</v>
      </c>
      <c r="I297" s="66" t="b">
        <v>0</v>
      </c>
      <c r="J297" s="71"/>
      <c r="K297" s="72"/>
      <c r="L297" s="69" t="str">
        <f t="shared" si="1"/>
        <v>off set</v>
      </c>
    </row>
    <row r="298" ht="22.5" customHeight="1">
      <c r="A298" s="59">
        <v>297.0</v>
      </c>
      <c r="B298" s="63"/>
      <c r="C298" s="74"/>
      <c r="D298" s="63"/>
      <c r="E298" s="63"/>
      <c r="F298" s="63"/>
      <c r="G298" s="65"/>
      <c r="H298" s="75" t="str">
        <f>IF(B298 = "Smile", G298 + 'Over View'!$B$3, IF(B298 = "Bianco" , G298 + 'Over View'!$B$4, IF(B298 = "Giallo" , G298 + 'Over View'!$B$5, IF(B298 = "Blu" , G298 + 'Over View'!$B$6, IF(B298 = "Verde" , G298 + 'Over View'!$B$7, IF(B298 = "Rosso" , G298 + 'Over View'!$B$8, "Grado Non Inserito") )))))</f>
        <v>Grado Non Inserito</v>
      </c>
      <c r="I298" s="66" t="b">
        <v>0</v>
      </c>
      <c r="J298" s="71"/>
      <c r="K298" s="72"/>
      <c r="L298" s="69" t="str">
        <f t="shared" si="1"/>
        <v>off set</v>
      </c>
    </row>
    <row r="299" ht="22.5" customHeight="1">
      <c r="A299" s="59">
        <v>298.0</v>
      </c>
      <c r="B299" s="63"/>
      <c r="C299" s="74"/>
      <c r="D299" s="63"/>
      <c r="E299" s="63"/>
      <c r="F299" s="63"/>
      <c r="G299" s="65"/>
      <c r="H299" s="75" t="str">
        <f>IF(B299 = "Smile", G299 + 'Over View'!$B$3, IF(B299 = "Bianco" , G299 + 'Over View'!$B$4, IF(B299 = "Giallo" , G299 + 'Over View'!$B$5, IF(B299 = "Blu" , G299 + 'Over View'!$B$6, IF(B299 = "Verde" , G299 + 'Over View'!$B$7, IF(B299 = "Rosso" , G299 + 'Over View'!$B$8, "Grado Non Inserito") )))))</f>
        <v>Grado Non Inserito</v>
      </c>
      <c r="I299" s="66" t="b">
        <v>0</v>
      </c>
      <c r="J299" s="71"/>
      <c r="K299" s="72"/>
      <c r="L299" s="69" t="str">
        <f t="shared" si="1"/>
        <v>off set</v>
      </c>
    </row>
    <row r="300" ht="22.5" customHeight="1">
      <c r="A300" s="59">
        <v>299.0</v>
      </c>
      <c r="B300" s="63"/>
      <c r="C300" s="74"/>
      <c r="D300" s="63"/>
      <c r="E300" s="63"/>
      <c r="F300" s="63"/>
      <c r="G300" s="65"/>
      <c r="H300" s="75" t="str">
        <f>IF(B300 = "Smile", G300 + 'Over View'!$B$3, IF(B300 = "Bianco" , G300 + 'Over View'!$B$4, IF(B300 = "Giallo" , G300 + 'Over View'!$B$5, IF(B300 = "Blu" , G300 + 'Over View'!$B$6, IF(B300 = "Verde" , G300 + 'Over View'!$B$7, IF(B300 = "Rosso" , G300 + 'Over View'!$B$8, "Grado Non Inserito") )))))</f>
        <v>Grado Non Inserito</v>
      </c>
      <c r="I300" s="66" t="b">
        <v>0</v>
      </c>
      <c r="J300" s="71"/>
      <c r="K300" s="72"/>
      <c r="L300" s="69" t="str">
        <f t="shared" si="1"/>
        <v>off set</v>
      </c>
    </row>
    <row r="301" ht="22.5" customHeight="1">
      <c r="A301" s="59">
        <v>300.0</v>
      </c>
      <c r="B301" s="63"/>
      <c r="C301" s="74"/>
      <c r="D301" s="63"/>
      <c r="E301" s="63"/>
      <c r="F301" s="63"/>
      <c r="G301" s="65"/>
      <c r="H301" s="75" t="str">
        <f>IF(B301 = "Smile", G301 + 'Over View'!$B$3, IF(B301 = "Bianco" , G301 + 'Over View'!$B$4, IF(B301 = "Giallo" , G301 + 'Over View'!$B$5, IF(B301 = "Blu" , G301 + 'Over View'!$B$6, IF(B301 = "Verde" , G301 + 'Over View'!$B$7, IF(B301 = "Rosso" , G301 + 'Over View'!$B$8, "Grado Non Inserito") )))))</f>
        <v>Grado Non Inserito</v>
      </c>
      <c r="I301" s="66" t="b">
        <v>0</v>
      </c>
      <c r="J301" s="71"/>
      <c r="K301" s="72"/>
      <c r="L301" s="69" t="str">
        <f t="shared" si="1"/>
        <v>off set</v>
      </c>
    </row>
    <row r="302" ht="22.5" customHeight="1">
      <c r="A302" s="59">
        <v>301.0</v>
      </c>
      <c r="B302" s="63"/>
      <c r="C302" s="74"/>
      <c r="D302" s="63"/>
      <c r="E302" s="63"/>
      <c r="F302" s="63"/>
      <c r="G302" s="65"/>
      <c r="H302" s="75" t="str">
        <f>IF(B302 = "Smile", G302 + 'Over View'!$B$3, IF(B302 = "Bianco" , G302 + 'Over View'!$B$4, IF(B302 = "Giallo" , G302 + 'Over View'!$B$5, IF(B302 = "Blu" , G302 + 'Over View'!$B$6, IF(B302 = "Verde" , G302 + 'Over View'!$B$7, IF(B302 = "Rosso" , G302 + 'Over View'!$B$8, "Grado Non Inserito") )))))</f>
        <v>Grado Non Inserito</v>
      </c>
      <c r="I302" s="66" t="b">
        <v>0</v>
      </c>
      <c r="J302" s="71"/>
      <c r="K302" s="72"/>
      <c r="L302" s="69" t="str">
        <f t="shared" si="1"/>
        <v>off set</v>
      </c>
    </row>
    <row r="303" ht="22.5" customHeight="1">
      <c r="A303" s="59">
        <v>302.0</v>
      </c>
      <c r="B303" s="63"/>
      <c r="C303" s="74"/>
      <c r="D303" s="63"/>
      <c r="E303" s="63"/>
      <c r="F303" s="63"/>
      <c r="G303" s="65"/>
      <c r="H303" s="75" t="str">
        <f>IF(B303 = "Smile", G303 + 'Over View'!$B$3, IF(B303 = "Bianco" , G303 + 'Over View'!$B$4, IF(B303 = "Giallo" , G303 + 'Over View'!$B$5, IF(B303 = "Blu" , G303 + 'Over View'!$B$6, IF(B303 = "Verde" , G303 + 'Over View'!$B$7, IF(B303 = "Rosso" , G303 + 'Over View'!$B$8, "Grado Non Inserito") )))))</f>
        <v>Grado Non Inserito</v>
      </c>
      <c r="I303" s="66" t="b">
        <v>0</v>
      </c>
      <c r="J303" s="71"/>
      <c r="K303" s="72"/>
      <c r="L303" s="69" t="str">
        <f t="shared" si="1"/>
        <v>off set</v>
      </c>
    </row>
    <row r="304" ht="22.5" customHeight="1">
      <c r="A304" s="59">
        <v>303.0</v>
      </c>
      <c r="B304" s="63"/>
      <c r="C304" s="74"/>
      <c r="D304" s="63"/>
      <c r="E304" s="63"/>
      <c r="F304" s="63"/>
      <c r="G304" s="65"/>
      <c r="H304" s="75" t="str">
        <f>IF(B304 = "Smile", G304 + 'Over View'!$B$3, IF(B304 = "Bianco" , G304 + 'Over View'!$B$4, IF(B304 = "Giallo" , G304 + 'Over View'!$B$5, IF(B304 = "Blu" , G304 + 'Over View'!$B$6, IF(B304 = "Verde" , G304 + 'Over View'!$B$7, IF(B304 = "Rosso" , G304 + 'Over View'!$B$8, "Grado Non Inserito") )))))</f>
        <v>Grado Non Inserito</v>
      </c>
      <c r="I304" s="66" t="b">
        <v>0</v>
      </c>
      <c r="J304" s="71"/>
      <c r="K304" s="72"/>
      <c r="L304" s="69" t="str">
        <f t="shared" si="1"/>
        <v>off set</v>
      </c>
    </row>
    <row r="305" ht="22.5" customHeight="1">
      <c r="A305" s="59">
        <v>304.0</v>
      </c>
      <c r="B305" s="63"/>
      <c r="C305" s="74"/>
      <c r="D305" s="63"/>
      <c r="E305" s="63"/>
      <c r="F305" s="63"/>
      <c r="G305" s="65"/>
      <c r="H305" s="75" t="str">
        <f>IF(B305 = "Smile", G305 + 'Over View'!$B$3, IF(B305 = "Bianco" , G305 + 'Over View'!$B$4, IF(B305 = "Giallo" , G305 + 'Over View'!$B$5, IF(B305 = "Blu" , G305 + 'Over View'!$B$6, IF(B305 = "Verde" , G305 + 'Over View'!$B$7, IF(B305 = "Rosso" , G305 + 'Over View'!$B$8, "Grado Non Inserito") )))))</f>
        <v>Grado Non Inserito</v>
      </c>
      <c r="I305" s="66" t="b">
        <v>0</v>
      </c>
      <c r="J305" s="71"/>
      <c r="K305" s="72"/>
      <c r="L305" s="69" t="str">
        <f t="shared" si="1"/>
        <v>off set</v>
      </c>
    </row>
    <row r="306" ht="22.5" customHeight="1">
      <c r="A306" s="59">
        <v>305.0</v>
      </c>
      <c r="B306" s="63"/>
      <c r="C306" s="74"/>
      <c r="D306" s="63"/>
      <c r="E306" s="63"/>
      <c r="F306" s="63"/>
      <c r="G306" s="65"/>
      <c r="H306" s="75" t="str">
        <f>IF(B306 = "Smile", G306 + 'Over View'!$B$3, IF(B306 = "Bianco" , G306 + 'Over View'!$B$4, IF(B306 = "Giallo" , G306 + 'Over View'!$B$5, IF(B306 = "Blu" , G306 + 'Over View'!$B$6, IF(B306 = "Verde" , G306 + 'Over View'!$B$7, IF(B306 = "Rosso" , G306 + 'Over View'!$B$8, "Grado Non Inserito") )))))</f>
        <v>Grado Non Inserito</v>
      </c>
      <c r="I306" s="66" t="b">
        <v>0</v>
      </c>
      <c r="J306" s="71"/>
      <c r="K306" s="72"/>
      <c r="L306" s="69" t="str">
        <f t="shared" si="1"/>
        <v>off set</v>
      </c>
    </row>
    <row r="307" ht="22.5" customHeight="1">
      <c r="A307" s="59">
        <v>306.0</v>
      </c>
      <c r="B307" s="63"/>
      <c r="C307" s="74"/>
      <c r="D307" s="63"/>
      <c r="E307" s="63"/>
      <c r="F307" s="63"/>
      <c r="G307" s="65"/>
      <c r="H307" s="75" t="str">
        <f>IF(B307 = "Smile", G307 + 'Over View'!$B$3, IF(B307 = "Bianco" , G307 + 'Over View'!$B$4, IF(B307 = "Giallo" , G307 + 'Over View'!$B$5, IF(B307 = "Blu" , G307 + 'Over View'!$B$6, IF(B307 = "Verde" , G307 + 'Over View'!$B$7, IF(B307 = "Rosso" , G307 + 'Over View'!$B$8, "Grado Non Inserito") )))))</f>
        <v>Grado Non Inserito</v>
      </c>
      <c r="I307" s="66" t="b">
        <v>0</v>
      </c>
      <c r="J307" s="71"/>
      <c r="K307" s="72"/>
      <c r="L307" s="69" t="str">
        <f t="shared" si="1"/>
        <v>off set</v>
      </c>
    </row>
    <row r="308" ht="22.5" customHeight="1">
      <c r="A308" s="59">
        <v>307.0</v>
      </c>
      <c r="B308" s="63"/>
      <c r="C308" s="74"/>
      <c r="D308" s="63"/>
      <c r="E308" s="63"/>
      <c r="F308" s="63"/>
      <c r="G308" s="65"/>
      <c r="H308" s="75" t="str">
        <f>IF(B308 = "Smile", G308 + 'Over View'!$B$3, IF(B308 = "Bianco" , G308 + 'Over View'!$B$4, IF(B308 = "Giallo" , G308 + 'Over View'!$B$5, IF(B308 = "Blu" , G308 + 'Over View'!$B$6, IF(B308 = "Verde" , G308 + 'Over View'!$B$7, IF(B308 = "Rosso" , G308 + 'Over View'!$B$8, "Grado Non Inserito") )))))</f>
        <v>Grado Non Inserito</v>
      </c>
      <c r="I308" s="66" t="b">
        <v>0</v>
      </c>
      <c r="J308" s="71"/>
      <c r="K308" s="72"/>
      <c r="L308" s="69" t="str">
        <f t="shared" si="1"/>
        <v>off set</v>
      </c>
    </row>
    <row r="309" ht="22.5" customHeight="1">
      <c r="A309" s="59">
        <v>308.0</v>
      </c>
      <c r="B309" s="63"/>
      <c r="C309" s="74"/>
      <c r="D309" s="63"/>
      <c r="E309" s="63"/>
      <c r="F309" s="63"/>
      <c r="G309" s="65"/>
      <c r="H309" s="75" t="str">
        <f>IF(B309 = "Smile", G309 + 'Over View'!$B$3, IF(B309 = "Bianco" , G309 + 'Over View'!$B$4, IF(B309 = "Giallo" , G309 + 'Over View'!$B$5, IF(B309 = "Blu" , G309 + 'Over View'!$B$6, IF(B309 = "Verde" , G309 + 'Over View'!$B$7, IF(B309 = "Rosso" , G309 + 'Over View'!$B$8, "Grado Non Inserito") )))))</f>
        <v>Grado Non Inserito</v>
      </c>
      <c r="I309" s="66" t="b">
        <v>0</v>
      </c>
      <c r="J309" s="71"/>
      <c r="K309" s="72"/>
      <c r="L309" s="69" t="str">
        <f t="shared" si="1"/>
        <v>off set</v>
      </c>
    </row>
    <row r="310" ht="22.5" customHeight="1">
      <c r="A310" s="59">
        <v>309.0</v>
      </c>
      <c r="B310" s="63"/>
      <c r="C310" s="74"/>
      <c r="D310" s="63"/>
      <c r="E310" s="63"/>
      <c r="F310" s="63"/>
      <c r="G310" s="65"/>
      <c r="H310" s="75" t="str">
        <f>IF(B310 = "Smile", G310 + 'Over View'!$B$3, IF(B310 = "Bianco" , G310 + 'Over View'!$B$4, IF(B310 = "Giallo" , G310 + 'Over View'!$B$5, IF(B310 = "Blu" , G310 + 'Over View'!$B$6, IF(B310 = "Verde" , G310 + 'Over View'!$B$7, IF(B310 = "Rosso" , G310 + 'Over View'!$B$8, "Grado Non Inserito") )))))</f>
        <v>Grado Non Inserito</v>
      </c>
      <c r="I310" s="66" t="b">
        <v>0</v>
      </c>
      <c r="J310" s="71"/>
      <c r="K310" s="72"/>
      <c r="L310" s="69" t="str">
        <f t="shared" si="1"/>
        <v>off set</v>
      </c>
    </row>
    <row r="311" ht="22.5" customHeight="1">
      <c r="A311" s="59">
        <v>310.0</v>
      </c>
      <c r="B311" s="63"/>
      <c r="C311" s="74"/>
      <c r="D311" s="63"/>
      <c r="E311" s="63"/>
      <c r="F311" s="63"/>
      <c r="G311" s="65"/>
      <c r="H311" s="75" t="str">
        <f>IF(B311 = "Smile", G311 + 'Over View'!$B$3, IF(B311 = "Bianco" , G311 + 'Over View'!$B$4, IF(B311 = "Giallo" , G311 + 'Over View'!$B$5, IF(B311 = "Blu" , G311 + 'Over View'!$B$6, IF(B311 = "Verde" , G311 + 'Over View'!$B$7, IF(B311 = "Rosso" , G311 + 'Over View'!$B$8, "Grado Non Inserito") )))))</f>
        <v>Grado Non Inserito</v>
      </c>
      <c r="I311" s="66" t="b">
        <v>0</v>
      </c>
      <c r="J311" s="71"/>
      <c r="K311" s="72"/>
      <c r="L311" s="69" t="str">
        <f t="shared" si="1"/>
        <v>off set</v>
      </c>
    </row>
    <row r="312" ht="22.5" customHeight="1">
      <c r="A312" s="59">
        <v>311.0</v>
      </c>
      <c r="B312" s="63"/>
      <c r="C312" s="74"/>
      <c r="D312" s="63"/>
      <c r="E312" s="63"/>
      <c r="F312" s="63"/>
      <c r="G312" s="65"/>
      <c r="H312" s="75" t="str">
        <f>IF(B312 = "Smile", G312 + 'Over View'!$B$3, IF(B312 = "Bianco" , G312 + 'Over View'!$B$4, IF(B312 = "Giallo" , G312 + 'Over View'!$B$5, IF(B312 = "Blu" , G312 + 'Over View'!$B$6, IF(B312 = "Verde" , G312 + 'Over View'!$B$7, IF(B312 = "Rosso" , G312 + 'Over View'!$B$8, "Grado Non Inserito") )))))</f>
        <v>Grado Non Inserito</v>
      </c>
      <c r="I312" s="66" t="b">
        <v>0</v>
      </c>
      <c r="J312" s="71"/>
      <c r="K312" s="72"/>
      <c r="L312" s="69" t="str">
        <f t="shared" si="1"/>
        <v>off set</v>
      </c>
    </row>
    <row r="313" ht="22.5" customHeight="1">
      <c r="A313" s="59">
        <v>312.0</v>
      </c>
      <c r="B313" s="63"/>
      <c r="C313" s="74"/>
      <c r="D313" s="63"/>
      <c r="E313" s="63"/>
      <c r="F313" s="63"/>
      <c r="G313" s="65"/>
      <c r="H313" s="75" t="str">
        <f>IF(B313 = "Smile", G313 + 'Over View'!$B$3, IF(B313 = "Bianco" , G313 + 'Over View'!$B$4, IF(B313 = "Giallo" , G313 + 'Over View'!$B$5, IF(B313 = "Blu" , G313 + 'Over View'!$B$6, IF(B313 = "Verde" , G313 + 'Over View'!$B$7, IF(B313 = "Rosso" , G313 + 'Over View'!$B$8, "Grado Non Inserito") )))))</f>
        <v>Grado Non Inserito</v>
      </c>
      <c r="I313" s="66" t="b">
        <v>0</v>
      </c>
      <c r="J313" s="71"/>
      <c r="K313" s="72"/>
      <c r="L313" s="69" t="str">
        <f t="shared" si="1"/>
        <v>off set</v>
      </c>
    </row>
    <row r="314" ht="22.5" customHeight="1">
      <c r="A314" s="59">
        <v>313.0</v>
      </c>
      <c r="B314" s="63"/>
      <c r="C314" s="74"/>
      <c r="D314" s="63"/>
      <c r="E314" s="63"/>
      <c r="F314" s="63"/>
      <c r="G314" s="65"/>
      <c r="H314" s="75" t="str">
        <f>IF(B314 = "Smile", G314 + 'Over View'!$B$3, IF(B314 = "Bianco" , G314 + 'Over View'!$B$4, IF(B314 = "Giallo" , G314 + 'Over View'!$B$5, IF(B314 = "Blu" , G314 + 'Over View'!$B$6, IF(B314 = "Verde" , G314 + 'Over View'!$B$7, IF(B314 = "Rosso" , G314 + 'Over View'!$B$8, "Grado Non Inserito") )))))</f>
        <v>Grado Non Inserito</v>
      </c>
      <c r="I314" s="66" t="b">
        <v>0</v>
      </c>
      <c r="J314" s="71"/>
      <c r="K314" s="72"/>
      <c r="L314" s="69" t="str">
        <f t="shared" si="1"/>
        <v>off set</v>
      </c>
    </row>
    <row r="315" ht="22.5" customHeight="1">
      <c r="A315" s="59">
        <v>314.0</v>
      </c>
      <c r="B315" s="63"/>
      <c r="C315" s="74"/>
      <c r="D315" s="63"/>
      <c r="E315" s="63"/>
      <c r="F315" s="63"/>
      <c r="G315" s="65"/>
      <c r="H315" s="75" t="str">
        <f>IF(B315 = "Smile", G315 + 'Over View'!$B$3, IF(B315 = "Bianco" , G315 + 'Over View'!$B$4, IF(B315 = "Giallo" , G315 + 'Over View'!$B$5, IF(B315 = "Blu" , G315 + 'Over View'!$B$6, IF(B315 = "Verde" , G315 + 'Over View'!$B$7, IF(B315 = "Rosso" , G315 + 'Over View'!$B$8, "Grado Non Inserito") )))))</f>
        <v>Grado Non Inserito</v>
      </c>
      <c r="I315" s="66" t="b">
        <v>0</v>
      </c>
      <c r="J315" s="71"/>
      <c r="K315" s="72"/>
      <c r="L315" s="69" t="str">
        <f t="shared" si="1"/>
        <v>off set</v>
      </c>
    </row>
    <row r="316" ht="22.5" customHeight="1">
      <c r="A316" s="59">
        <v>315.0</v>
      </c>
      <c r="B316" s="63"/>
      <c r="C316" s="74"/>
      <c r="D316" s="63"/>
      <c r="E316" s="63"/>
      <c r="F316" s="63"/>
      <c r="G316" s="65"/>
      <c r="H316" s="75" t="str">
        <f>IF(B316 = "Smile", G316 + 'Over View'!$B$3, IF(B316 = "Bianco" , G316 + 'Over View'!$B$4, IF(B316 = "Giallo" , G316 + 'Over View'!$B$5, IF(B316 = "Blu" , G316 + 'Over View'!$B$6, IF(B316 = "Verde" , G316 + 'Over View'!$B$7, IF(B316 = "Rosso" , G316 + 'Over View'!$B$8, "Grado Non Inserito") )))))</f>
        <v>Grado Non Inserito</v>
      </c>
      <c r="I316" s="66" t="b">
        <v>0</v>
      </c>
      <c r="J316" s="71"/>
      <c r="K316" s="72"/>
      <c r="L316" s="69" t="str">
        <f t="shared" si="1"/>
        <v>off set</v>
      </c>
    </row>
    <row r="317" ht="22.5" customHeight="1">
      <c r="A317" s="59">
        <v>316.0</v>
      </c>
      <c r="B317" s="63"/>
      <c r="C317" s="74"/>
      <c r="D317" s="63"/>
      <c r="E317" s="63"/>
      <c r="F317" s="63"/>
      <c r="G317" s="65"/>
      <c r="H317" s="75" t="str">
        <f>IF(B317 = "Smile", G317 + 'Over View'!$B$3, IF(B317 = "Bianco" , G317 + 'Over View'!$B$4, IF(B317 = "Giallo" , G317 + 'Over View'!$B$5, IF(B317 = "Blu" , G317 + 'Over View'!$B$6, IF(B317 = "Verde" , G317 + 'Over View'!$B$7, IF(B317 = "Rosso" , G317 + 'Over View'!$B$8, "Grado Non Inserito") )))))</f>
        <v>Grado Non Inserito</v>
      </c>
      <c r="I317" s="66" t="b">
        <v>0</v>
      </c>
      <c r="J317" s="71"/>
      <c r="K317" s="72"/>
      <c r="L317" s="69" t="str">
        <f t="shared" si="1"/>
        <v>off set</v>
      </c>
    </row>
    <row r="318" ht="22.5" customHeight="1">
      <c r="A318" s="59">
        <v>317.0</v>
      </c>
      <c r="B318" s="63"/>
      <c r="C318" s="74"/>
      <c r="D318" s="63"/>
      <c r="E318" s="63"/>
      <c r="F318" s="63"/>
      <c r="G318" s="65"/>
      <c r="H318" s="75" t="str">
        <f>IF(B318 = "Smile", G318 + 'Over View'!$B$3, IF(B318 = "Bianco" , G318 + 'Over View'!$B$4, IF(B318 = "Giallo" , G318 + 'Over View'!$B$5, IF(B318 = "Blu" , G318 + 'Over View'!$B$6, IF(B318 = "Verde" , G318 + 'Over View'!$B$7, IF(B318 = "Rosso" , G318 + 'Over View'!$B$8, "Grado Non Inserito") )))))</f>
        <v>Grado Non Inserito</v>
      </c>
      <c r="I318" s="66" t="b">
        <v>0</v>
      </c>
      <c r="J318" s="71"/>
      <c r="K318" s="72"/>
      <c r="L318" s="69" t="str">
        <f t="shared" si="1"/>
        <v>off set</v>
      </c>
    </row>
    <row r="319" ht="22.5" customHeight="1">
      <c r="A319" s="59">
        <v>318.0</v>
      </c>
      <c r="B319" s="63"/>
      <c r="C319" s="74"/>
      <c r="D319" s="63"/>
      <c r="E319" s="63"/>
      <c r="F319" s="63"/>
      <c r="G319" s="65"/>
      <c r="H319" s="75" t="str">
        <f>IF(B319 = "Smile", G319 + 'Over View'!$B$3, IF(B319 = "Bianco" , G319 + 'Over View'!$B$4, IF(B319 = "Giallo" , G319 + 'Over View'!$B$5, IF(B319 = "Blu" , G319 + 'Over View'!$B$6, IF(B319 = "Verde" , G319 + 'Over View'!$B$7, IF(B319 = "Rosso" , G319 + 'Over View'!$B$8, "Grado Non Inserito") )))))</f>
        <v>Grado Non Inserito</v>
      </c>
      <c r="I319" s="66" t="b">
        <v>0</v>
      </c>
      <c r="J319" s="71"/>
      <c r="K319" s="72"/>
      <c r="L319" s="69" t="str">
        <f t="shared" si="1"/>
        <v>off set</v>
      </c>
    </row>
    <row r="320" ht="22.5" customHeight="1">
      <c r="A320" s="59">
        <v>319.0</v>
      </c>
      <c r="B320" s="63"/>
      <c r="C320" s="74"/>
      <c r="D320" s="63"/>
      <c r="E320" s="63"/>
      <c r="F320" s="63"/>
      <c r="G320" s="65"/>
      <c r="H320" s="75" t="str">
        <f>IF(B320 = "Smile", G320 + 'Over View'!$B$3, IF(B320 = "Bianco" , G320 + 'Over View'!$B$4, IF(B320 = "Giallo" , G320 + 'Over View'!$B$5, IF(B320 = "Blu" , G320 + 'Over View'!$B$6, IF(B320 = "Verde" , G320 + 'Over View'!$B$7, IF(B320 = "Rosso" , G320 + 'Over View'!$B$8, "Grado Non Inserito") )))))</f>
        <v>Grado Non Inserito</v>
      </c>
      <c r="I320" s="66" t="b">
        <v>0</v>
      </c>
      <c r="J320" s="71"/>
      <c r="K320" s="72"/>
      <c r="L320" s="69" t="str">
        <f t="shared" si="1"/>
        <v>off set</v>
      </c>
    </row>
    <row r="321" ht="22.5" customHeight="1">
      <c r="A321" s="59">
        <v>320.0</v>
      </c>
      <c r="B321" s="63"/>
      <c r="C321" s="74"/>
      <c r="D321" s="63"/>
      <c r="E321" s="63"/>
      <c r="F321" s="63"/>
      <c r="G321" s="65"/>
      <c r="H321" s="75" t="str">
        <f>IF(B321 = "Smile", G321 + 'Over View'!$B$3, IF(B321 = "Bianco" , G321 + 'Over View'!$B$4, IF(B321 = "Giallo" , G321 + 'Over View'!$B$5, IF(B321 = "Blu" , G321 + 'Over View'!$B$6, IF(B321 = "Verde" , G321 + 'Over View'!$B$7, IF(B321 = "Rosso" , G321 + 'Over View'!$B$8, "Grado Non Inserito") )))))</f>
        <v>Grado Non Inserito</v>
      </c>
      <c r="I321" s="66" t="b">
        <v>0</v>
      </c>
      <c r="J321" s="71"/>
      <c r="K321" s="72"/>
      <c r="L321" s="69" t="str">
        <f t="shared" si="1"/>
        <v>off set</v>
      </c>
    </row>
    <row r="322" ht="22.5" customHeight="1">
      <c r="A322" s="59">
        <v>321.0</v>
      </c>
      <c r="B322" s="63"/>
      <c r="C322" s="74"/>
      <c r="D322" s="63"/>
      <c r="E322" s="63"/>
      <c r="F322" s="63"/>
      <c r="G322" s="65"/>
      <c r="H322" s="75" t="str">
        <f>IF(B322 = "Smile", G322 + 'Over View'!$B$3, IF(B322 = "Bianco" , G322 + 'Over View'!$B$4, IF(B322 = "Giallo" , G322 + 'Over View'!$B$5, IF(B322 = "Blu" , G322 + 'Over View'!$B$6, IF(B322 = "Verde" , G322 + 'Over View'!$B$7, IF(B322 = "Rosso" , G322 + 'Over View'!$B$8, "Grado Non Inserito") )))))</f>
        <v>Grado Non Inserito</v>
      </c>
      <c r="I322" s="66" t="b">
        <v>0</v>
      </c>
      <c r="J322" s="71"/>
      <c r="K322" s="72"/>
      <c r="L322" s="69" t="str">
        <f t="shared" si="1"/>
        <v>off set</v>
      </c>
    </row>
    <row r="323" ht="22.5" customHeight="1">
      <c r="A323" s="59">
        <v>322.0</v>
      </c>
      <c r="B323" s="63"/>
      <c r="C323" s="74"/>
      <c r="D323" s="63"/>
      <c r="E323" s="63"/>
      <c r="F323" s="63"/>
      <c r="G323" s="65"/>
      <c r="H323" s="75" t="str">
        <f>IF(B323 = "Smile", G323 + 'Over View'!$B$3, IF(B323 = "Bianco" , G323 + 'Over View'!$B$4, IF(B323 = "Giallo" , G323 + 'Over View'!$B$5, IF(B323 = "Blu" , G323 + 'Over View'!$B$6, IF(B323 = "Verde" , G323 + 'Over View'!$B$7, IF(B323 = "Rosso" , G323 + 'Over View'!$B$8, "Grado Non Inserito") )))))</f>
        <v>Grado Non Inserito</v>
      </c>
      <c r="I323" s="66" t="b">
        <v>0</v>
      </c>
      <c r="J323" s="71"/>
      <c r="K323" s="72"/>
      <c r="L323" s="69" t="str">
        <f t="shared" si="1"/>
        <v>off set</v>
      </c>
    </row>
    <row r="324" ht="22.5" customHeight="1">
      <c r="A324" s="59">
        <v>323.0</v>
      </c>
      <c r="B324" s="63"/>
      <c r="C324" s="74"/>
      <c r="D324" s="63"/>
      <c r="E324" s="63"/>
      <c r="F324" s="63"/>
      <c r="G324" s="65"/>
      <c r="H324" s="75" t="str">
        <f>IF(B324 = "Smile", G324 + 'Over View'!$B$3, IF(B324 = "Bianco" , G324 + 'Over View'!$B$4, IF(B324 = "Giallo" , G324 + 'Over View'!$B$5, IF(B324 = "Blu" , G324 + 'Over View'!$B$6, IF(B324 = "Verde" , G324 + 'Over View'!$B$7, IF(B324 = "Rosso" , G324 + 'Over View'!$B$8, "Grado Non Inserito") )))))</f>
        <v>Grado Non Inserito</v>
      </c>
      <c r="I324" s="66" t="b">
        <v>0</v>
      </c>
      <c r="J324" s="71"/>
      <c r="K324" s="72"/>
      <c r="L324" s="69" t="str">
        <f t="shared" si="1"/>
        <v>off set</v>
      </c>
    </row>
    <row r="325" ht="22.5" customHeight="1">
      <c r="A325" s="59">
        <v>324.0</v>
      </c>
      <c r="B325" s="63"/>
      <c r="C325" s="74"/>
      <c r="D325" s="63"/>
      <c r="E325" s="63"/>
      <c r="F325" s="63"/>
      <c r="G325" s="65"/>
      <c r="H325" s="75" t="str">
        <f>IF(B325 = "Smile", G325 + 'Over View'!$B$3, IF(B325 = "Bianco" , G325 + 'Over View'!$B$4, IF(B325 = "Giallo" , G325 + 'Over View'!$B$5, IF(B325 = "Blu" , G325 + 'Over View'!$B$6, IF(B325 = "Verde" , G325 + 'Over View'!$B$7, IF(B325 = "Rosso" , G325 + 'Over View'!$B$8, "Grado Non Inserito") )))))</f>
        <v>Grado Non Inserito</v>
      </c>
      <c r="I325" s="66" t="b">
        <v>0</v>
      </c>
      <c r="J325" s="71"/>
      <c r="K325" s="72"/>
      <c r="L325" s="69" t="str">
        <f t="shared" si="1"/>
        <v>off set</v>
      </c>
    </row>
    <row r="326" ht="22.5" customHeight="1">
      <c r="A326" s="59">
        <v>325.0</v>
      </c>
      <c r="B326" s="63"/>
      <c r="C326" s="74"/>
      <c r="D326" s="63"/>
      <c r="E326" s="63"/>
      <c r="F326" s="63"/>
      <c r="G326" s="65"/>
      <c r="H326" s="75" t="str">
        <f>IF(B326 = "Smile", G326 + 'Over View'!$B$3, IF(B326 = "Bianco" , G326 + 'Over View'!$B$4, IF(B326 = "Giallo" , G326 + 'Over View'!$B$5, IF(B326 = "Blu" , G326 + 'Over View'!$B$6, IF(B326 = "Verde" , G326 + 'Over View'!$B$7, IF(B326 = "Rosso" , G326 + 'Over View'!$B$8, "Grado Non Inserito") )))))</f>
        <v>Grado Non Inserito</v>
      </c>
      <c r="I326" s="66" t="b">
        <v>0</v>
      </c>
      <c r="J326" s="71"/>
      <c r="K326" s="72"/>
      <c r="L326" s="69" t="str">
        <f t="shared" si="1"/>
        <v>off set</v>
      </c>
    </row>
    <row r="327" ht="22.5" customHeight="1">
      <c r="A327" s="59">
        <v>326.0</v>
      </c>
      <c r="B327" s="63"/>
      <c r="C327" s="74"/>
      <c r="D327" s="63"/>
      <c r="E327" s="63"/>
      <c r="F327" s="63"/>
      <c r="G327" s="65"/>
      <c r="H327" s="75" t="str">
        <f>IF(B327 = "Smile", G327 + 'Over View'!$B$3, IF(B327 = "Bianco" , G327 + 'Over View'!$B$4, IF(B327 = "Giallo" , G327 + 'Over View'!$B$5, IF(B327 = "Blu" , G327 + 'Over View'!$B$6, IF(B327 = "Verde" , G327 + 'Over View'!$B$7, IF(B327 = "Rosso" , G327 + 'Over View'!$B$8, "Grado Non Inserito") )))))</f>
        <v>Grado Non Inserito</v>
      </c>
      <c r="I327" s="66" t="b">
        <v>0</v>
      </c>
      <c r="J327" s="71"/>
      <c r="K327" s="72"/>
      <c r="L327" s="69" t="str">
        <f t="shared" si="1"/>
        <v>off set</v>
      </c>
    </row>
    <row r="328" ht="22.5" customHeight="1">
      <c r="A328" s="59">
        <v>327.0</v>
      </c>
      <c r="B328" s="63"/>
      <c r="C328" s="74"/>
      <c r="D328" s="63"/>
      <c r="E328" s="63"/>
      <c r="F328" s="63"/>
      <c r="G328" s="65"/>
      <c r="H328" s="75" t="str">
        <f>IF(B328 = "Smile", G328 + 'Over View'!$B$3, IF(B328 = "Bianco" , G328 + 'Over View'!$B$4, IF(B328 = "Giallo" , G328 + 'Over View'!$B$5, IF(B328 = "Blu" , G328 + 'Over View'!$B$6, IF(B328 = "Verde" , G328 + 'Over View'!$B$7, IF(B328 = "Rosso" , G328 + 'Over View'!$B$8, "Grado Non Inserito") )))))</f>
        <v>Grado Non Inserito</v>
      </c>
      <c r="I328" s="66" t="b">
        <v>0</v>
      </c>
      <c r="J328" s="71"/>
      <c r="K328" s="72"/>
      <c r="L328" s="69" t="str">
        <f t="shared" si="1"/>
        <v>off set</v>
      </c>
    </row>
    <row r="329" ht="22.5" customHeight="1">
      <c r="A329" s="59">
        <v>328.0</v>
      </c>
      <c r="B329" s="63"/>
      <c r="C329" s="74"/>
      <c r="D329" s="63"/>
      <c r="E329" s="63"/>
      <c r="F329" s="63"/>
      <c r="G329" s="65"/>
      <c r="H329" s="75" t="str">
        <f>IF(B329 = "Smile", G329 + 'Over View'!$B$3, IF(B329 = "Bianco" , G329 + 'Over View'!$B$4, IF(B329 = "Giallo" , G329 + 'Over View'!$B$5, IF(B329 = "Blu" , G329 + 'Over View'!$B$6, IF(B329 = "Verde" , G329 + 'Over View'!$B$7, IF(B329 = "Rosso" , G329 + 'Over View'!$B$8, "Grado Non Inserito") )))))</f>
        <v>Grado Non Inserito</v>
      </c>
      <c r="I329" s="66" t="b">
        <v>0</v>
      </c>
      <c r="J329" s="71"/>
      <c r="K329" s="72"/>
      <c r="L329" s="69" t="str">
        <f t="shared" si="1"/>
        <v>off set</v>
      </c>
    </row>
    <row r="330" ht="22.5" customHeight="1">
      <c r="A330" s="59">
        <v>329.0</v>
      </c>
      <c r="B330" s="63"/>
      <c r="C330" s="74"/>
      <c r="D330" s="63"/>
      <c r="E330" s="63"/>
      <c r="F330" s="63"/>
      <c r="G330" s="65"/>
      <c r="H330" s="75" t="str">
        <f>IF(B330 = "Smile", G330 + 'Over View'!$B$3, IF(B330 = "Bianco" , G330 + 'Over View'!$B$4, IF(B330 = "Giallo" , G330 + 'Over View'!$B$5, IF(B330 = "Blu" , G330 + 'Over View'!$B$6, IF(B330 = "Verde" , G330 + 'Over View'!$B$7, IF(B330 = "Rosso" , G330 + 'Over View'!$B$8, "Grado Non Inserito") )))))</f>
        <v>Grado Non Inserito</v>
      </c>
      <c r="I330" s="66" t="b">
        <v>0</v>
      </c>
      <c r="J330" s="71"/>
      <c r="K330" s="72"/>
      <c r="L330" s="69" t="str">
        <f t="shared" si="1"/>
        <v>off set</v>
      </c>
    </row>
    <row r="331" ht="22.5" customHeight="1">
      <c r="A331" s="59">
        <v>330.0</v>
      </c>
      <c r="B331" s="63"/>
      <c r="C331" s="74"/>
      <c r="D331" s="63"/>
      <c r="E331" s="63"/>
      <c r="F331" s="63"/>
      <c r="G331" s="65"/>
      <c r="H331" s="75" t="str">
        <f>IF(B331 = "Smile", G331 + 'Over View'!$B$3, IF(B331 = "Bianco" , G331 + 'Over View'!$B$4, IF(B331 = "Giallo" , G331 + 'Over View'!$B$5, IF(B331 = "Blu" , G331 + 'Over View'!$B$6, IF(B331 = "Verde" , G331 + 'Over View'!$B$7, IF(B331 = "Rosso" , G331 + 'Over View'!$B$8, "Grado Non Inserito") )))))</f>
        <v>Grado Non Inserito</v>
      </c>
      <c r="I331" s="66" t="b">
        <v>0</v>
      </c>
      <c r="J331" s="71"/>
      <c r="K331" s="72"/>
      <c r="L331" s="69" t="str">
        <f t="shared" si="1"/>
        <v>off set</v>
      </c>
    </row>
    <row r="332" ht="22.5" customHeight="1">
      <c r="A332" s="59">
        <v>331.0</v>
      </c>
      <c r="B332" s="63"/>
      <c r="C332" s="74"/>
      <c r="D332" s="63"/>
      <c r="E332" s="63"/>
      <c r="F332" s="63"/>
      <c r="G332" s="65"/>
      <c r="H332" s="75" t="str">
        <f>IF(B332 = "Smile", G332 + 'Over View'!$B$3, IF(B332 = "Bianco" , G332 + 'Over View'!$B$4, IF(B332 = "Giallo" , G332 + 'Over View'!$B$5, IF(B332 = "Blu" , G332 + 'Over View'!$B$6, IF(B332 = "Verde" , G332 + 'Over View'!$B$7, IF(B332 = "Rosso" , G332 + 'Over View'!$B$8, "Grado Non Inserito") )))))</f>
        <v>Grado Non Inserito</v>
      </c>
      <c r="I332" s="66" t="b">
        <v>0</v>
      </c>
      <c r="J332" s="71"/>
      <c r="K332" s="72"/>
      <c r="L332" s="69" t="str">
        <f t="shared" si="1"/>
        <v>off set</v>
      </c>
    </row>
    <row r="333" ht="22.5" customHeight="1">
      <c r="A333" s="59">
        <v>332.0</v>
      </c>
      <c r="B333" s="63"/>
      <c r="C333" s="74"/>
      <c r="D333" s="63"/>
      <c r="E333" s="63"/>
      <c r="F333" s="63"/>
      <c r="G333" s="65"/>
      <c r="H333" s="75" t="str">
        <f>IF(B333 = "Smile", G333 + 'Over View'!$B$3, IF(B333 = "Bianco" , G333 + 'Over View'!$B$4, IF(B333 = "Giallo" , G333 + 'Over View'!$B$5, IF(B333 = "Blu" , G333 + 'Over View'!$B$6, IF(B333 = "Verde" , G333 + 'Over View'!$B$7, IF(B333 = "Rosso" , G333 + 'Over View'!$B$8, "Grado Non Inserito") )))))</f>
        <v>Grado Non Inserito</v>
      </c>
      <c r="I333" s="66" t="b">
        <v>0</v>
      </c>
      <c r="J333" s="71"/>
      <c r="K333" s="72"/>
      <c r="L333" s="69" t="str">
        <f t="shared" si="1"/>
        <v>off set</v>
      </c>
    </row>
    <row r="334" ht="22.5" customHeight="1">
      <c r="A334" s="59">
        <v>333.0</v>
      </c>
      <c r="B334" s="63"/>
      <c r="C334" s="74"/>
      <c r="D334" s="63"/>
      <c r="E334" s="63"/>
      <c r="F334" s="63"/>
      <c r="G334" s="65"/>
      <c r="H334" s="75" t="str">
        <f>IF(B334 = "Smile", G334 + 'Over View'!$B$3, IF(B334 = "Bianco" , G334 + 'Over View'!$B$4, IF(B334 = "Giallo" , G334 + 'Over View'!$B$5, IF(B334 = "Blu" , G334 + 'Over View'!$B$6, IF(B334 = "Verde" , G334 + 'Over View'!$B$7, IF(B334 = "Rosso" , G334 + 'Over View'!$B$8, "Grado Non Inserito") )))))</f>
        <v>Grado Non Inserito</v>
      </c>
      <c r="I334" s="66" t="b">
        <v>0</v>
      </c>
      <c r="J334" s="71"/>
      <c r="K334" s="72"/>
      <c r="L334" s="69" t="str">
        <f t="shared" si="1"/>
        <v>off set</v>
      </c>
    </row>
    <row r="335" ht="22.5" customHeight="1">
      <c r="A335" s="59">
        <v>334.0</v>
      </c>
      <c r="B335" s="63"/>
      <c r="C335" s="74"/>
      <c r="D335" s="63"/>
      <c r="E335" s="63"/>
      <c r="F335" s="63"/>
      <c r="G335" s="65"/>
      <c r="H335" s="75" t="str">
        <f>IF(B335 = "Smile", G335 + 'Over View'!$B$3, IF(B335 = "Bianco" , G335 + 'Over View'!$B$4, IF(B335 = "Giallo" , G335 + 'Over View'!$B$5, IF(B335 = "Blu" , G335 + 'Over View'!$B$6, IF(B335 = "Verde" , G335 + 'Over View'!$B$7, IF(B335 = "Rosso" , G335 + 'Over View'!$B$8, "Grado Non Inserito") )))))</f>
        <v>Grado Non Inserito</v>
      </c>
      <c r="I335" s="66" t="b">
        <v>0</v>
      </c>
      <c r="J335" s="71"/>
      <c r="K335" s="72"/>
      <c r="L335" s="69" t="str">
        <f t="shared" si="1"/>
        <v>off set</v>
      </c>
    </row>
    <row r="336" ht="22.5" customHeight="1">
      <c r="A336" s="59">
        <v>335.0</v>
      </c>
      <c r="B336" s="63"/>
      <c r="C336" s="74"/>
      <c r="D336" s="63"/>
      <c r="E336" s="63"/>
      <c r="F336" s="63"/>
      <c r="G336" s="65"/>
      <c r="H336" s="75" t="str">
        <f>IF(B336 = "Smile", G336 + 'Over View'!$B$3, IF(B336 = "Bianco" , G336 + 'Over View'!$B$4, IF(B336 = "Giallo" , G336 + 'Over View'!$B$5, IF(B336 = "Blu" , G336 + 'Over View'!$B$6, IF(B336 = "Verde" , G336 + 'Over View'!$B$7, IF(B336 = "Rosso" , G336 + 'Over View'!$B$8, "Grado Non Inserito") )))))</f>
        <v>Grado Non Inserito</v>
      </c>
      <c r="I336" s="66" t="b">
        <v>0</v>
      </c>
      <c r="J336" s="71"/>
      <c r="K336" s="72"/>
      <c r="L336" s="69" t="str">
        <f t="shared" si="1"/>
        <v>off set</v>
      </c>
    </row>
    <row r="337" ht="22.5" customHeight="1">
      <c r="A337" s="59">
        <v>336.0</v>
      </c>
      <c r="B337" s="63"/>
      <c r="C337" s="74"/>
      <c r="D337" s="63"/>
      <c r="E337" s="63"/>
      <c r="F337" s="63"/>
      <c r="G337" s="65"/>
      <c r="H337" s="75" t="str">
        <f>IF(B337 = "Smile", G337 + 'Over View'!$B$3, IF(B337 = "Bianco" , G337 + 'Over View'!$B$4, IF(B337 = "Giallo" , G337 + 'Over View'!$B$5, IF(B337 = "Blu" , G337 + 'Over View'!$B$6, IF(B337 = "Verde" , G337 + 'Over View'!$B$7, IF(B337 = "Rosso" , G337 + 'Over View'!$B$8, "Grado Non Inserito") )))))</f>
        <v>Grado Non Inserito</v>
      </c>
      <c r="I337" s="66" t="b">
        <v>0</v>
      </c>
      <c r="J337" s="71"/>
      <c r="K337" s="72"/>
      <c r="L337" s="69" t="str">
        <f t="shared" si="1"/>
        <v>off set</v>
      </c>
    </row>
    <row r="338" ht="22.5" customHeight="1">
      <c r="A338" s="59">
        <v>337.0</v>
      </c>
      <c r="B338" s="63"/>
      <c r="C338" s="74"/>
      <c r="D338" s="63"/>
      <c r="E338" s="63"/>
      <c r="F338" s="63"/>
      <c r="G338" s="65"/>
      <c r="H338" s="75" t="str">
        <f>IF(B338 = "Smile", G338 + 'Over View'!$B$3, IF(B338 = "Bianco" , G338 + 'Over View'!$B$4, IF(B338 = "Giallo" , G338 + 'Over View'!$B$5, IF(B338 = "Blu" , G338 + 'Over View'!$B$6, IF(B338 = "Verde" , G338 + 'Over View'!$B$7, IF(B338 = "Rosso" , G338 + 'Over View'!$B$8, "Grado Non Inserito") )))))</f>
        <v>Grado Non Inserito</v>
      </c>
      <c r="I338" s="66" t="b">
        <v>0</v>
      </c>
      <c r="J338" s="71"/>
      <c r="K338" s="72"/>
      <c r="L338" s="69" t="str">
        <f t="shared" si="1"/>
        <v>off set</v>
      </c>
    </row>
    <row r="339" ht="22.5" customHeight="1">
      <c r="A339" s="59">
        <v>338.0</v>
      </c>
      <c r="B339" s="63"/>
      <c r="C339" s="74"/>
      <c r="D339" s="63"/>
      <c r="E339" s="63"/>
      <c r="F339" s="63"/>
      <c r="G339" s="65"/>
      <c r="H339" s="75" t="str">
        <f>IF(B339 = "Smile", G339 + 'Over View'!$B$3, IF(B339 = "Bianco" , G339 + 'Over View'!$B$4, IF(B339 = "Giallo" , G339 + 'Over View'!$B$5, IF(B339 = "Blu" , G339 + 'Over View'!$B$6, IF(B339 = "Verde" , G339 + 'Over View'!$B$7, IF(B339 = "Rosso" , G339 + 'Over View'!$B$8, "Grado Non Inserito") )))))</f>
        <v>Grado Non Inserito</v>
      </c>
      <c r="I339" s="66" t="b">
        <v>0</v>
      </c>
      <c r="J339" s="71"/>
      <c r="K339" s="72"/>
      <c r="L339" s="69" t="str">
        <f t="shared" si="1"/>
        <v>off set</v>
      </c>
    </row>
    <row r="340" ht="22.5" customHeight="1">
      <c r="A340" s="59">
        <v>339.0</v>
      </c>
      <c r="B340" s="63"/>
      <c r="C340" s="74"/>
      <c r="D340" s="63"/>
      <c r="E340" s="63"/>
      <c r="F340" s="63"/>
      <c r="G340" s="65"/>
      <c r="H340" s="75" t="str">
        <f>IF(B340 = "Smile", G340 + 'Over View'!$B$3, IF(B340 = "Bianco" , G340 + 'Over View'!$B$4, IF(B340 = "Giallo" , G340 + 'Over View'!$B$5, IF(B340 = "Blu" , G340 + 'Over View'!$B$6, IF(B340 = "Verde" , G340 + 'Over View'!$B$7, IF(B340 = "Rosso" , G340 + 'Over View'!$B$8, "Grado Non Inserito") )))))</f>
        <v>Grado Non Inserito</v>
      </c>
      <c r="I340" s="66" t="b">
        <v>0</v>
      </c>
      <c r="J340" s="71"/>
      <c r="K340" s="72"/>
      <c r="L340" s="69" t="str">
        <f t="shared" si="1"/>
        <v>off set</v>
      </c>
    </row>
    <row r="341" ht="22.5" customHeight="1">
      <c r="A341" s="59">
        <v>340.0</v>
      </c>
      <c r="B341" s="63"/>
      <c r="C341" s="74"/>
      <c r="D341" s="63"/>
      <c r="E341" s="63"/>
      <c r="F341" s="63"/>
      <c r="G341" s="65"/>
      <c r="H341" s="75" t="str">
        <f>IF(B341 = "Smile", G341 + 'Over View'!$B$3, IF(B341 = "Bianco" , G341 + 'Over View'!$B$4, IF(B341 = "Giallo" , G341 + 'Over View'!$B$5, IF(B341 = "Blu" , G341 + 'Over View'!$B$6, IF(B341 = "Verde" , G341 + 'Over View'!$B$7, IF(B341 = "Rosso" , G341 + 'Over View'!$B$8, "Grado Non Inserito") )))))</f>
        <v>Grado Non Inserito</v>
      </c>
      <c r="I341" s="66" t="b">
        <v>0</v>
      </c>
      <c r="J341" s="71"/>
      <c r="K341" s="72"/>
      <c r="L341" s="69" t="str">
        <f t="shared" si="1"/>
        <v>off set</v>
      </c>
    </row>
    <row r="342" ht="22.5" customHeight="1">
      <c r="A342" s="59">
        <v>341.0</v>
      </c>
      <c r="B342" s="63"/>
      <c r="C342" s="74"/>
      <c r="D342" s="63"/>
      <c r="E342" s="63"/>
      <c r="F342" s="63"/>
      <c r="G342" s="65"/>
      <c r="H342" s="75" t="str">
        <f>IF(B342 = "Smile", G342 + 'Over View'!$B$3, IF(B342 = "Bianco" , G342 + 'Over View'!$B$4, IF(B342 = "Giallo" , G342 + 'Over View'!$B$5, IF(B342 = "Blu" , G342 + 'Over View'!$B$6, IF(B342 = "Verde" , G342 + 'Over View'!$B$7, IF(B342 = "Rosso" , G342 + 'Over View'!$B$8, "Grado Non Inserito") )))))</f>
        <v>Grado Non Inserito</v>
      </c>
      <c r="I342" s="66" t="b">
        <v>0</v>
      </c>
      <c r="J342" s="71"/>
      <c r="K342" s="72"/>
      <c r="L342" s="69" t="str">
        <f t="shared" si="1"/>
        <v>off set</v>
      </c>
    </row>
    <row r="343" ht="22.5" customHeight="1">
      <c r="A343" s="59">
        <v>342.0</v>
      </c>
      <c r="B343" s="63"/>
      <c r="C343" s="74"/>
      <c r="D343" s="63"/>
      <c r="E343" s="63"/>
      <c r="F343" s="63"/>
      <c r="G343" s="65"/>
      <c r="H343" s="75" t="str">
        <f>IF(B343 = "Smile", G343 + 'Over View'!$B$3, IF(B343 = "Bianco" , G343 + 'Over View'!$B$4, IF(B343 = "Giallo" , G343 + 'Over View'!$B$5, IF(B343 = "Blu" , G343 + 'Over View'!$B$6, IF(B343 = "Verde" , G343 + 'Over View'!$B$7, IF(B343 = "Rosso" , G343 + 'Over View'!$B$8, "Grado Non Inserito") )))))</f>
        <v>Grado Non Inserito</v>
      </c>
      <c r="I343" s="66" t="b">
        <v>0</v>
      </c>
      <c r="J343" s="71"/>
      <c r="K343" s="72"/>
      <c r="L343" s="69" t="str">
        <f t="shared" si="1"/>
        <v>off set</v>
      </c>
    </row>
    <row r="344" ht="22.5" customHeight="1">
      <c r="A344" s="59">
        <v>343.0</v>
      </c>
      <c r="B344" s="63"/>
      <c r="C344" s="74"/>
      <c r="D344" s="63"/>
      <c r="E344" s="63"/>
      <c r="F344" s="63"/>
      <c r="G344" s="65"/>
      <c r="H344" s="75" t="str">
        <f>IF(B344 = "Smile", G344 + 'Over View'!$B$3, IF(B344 = "Bianco" , G344 + 'Over View'!$B$4, IF(B344 = "Giallo" , G344 + 'Over View'!$B$5, IF(B344 = "Blu" , G344 + 'Over View'!$B$6, IF(B344 = "Verde" , G344 + 'Over View'!$B$7, IF(B344 = "Rosso" , G344 + 'Over View'!$B$8, "Grado Non Inserito") )))))</f>
        <v>Grado Non Inserito</v>
      </c>
      <c r="I344" s="66" t="b">
        <v>0</v>
      </c>
      <c r="J344" s="71"/>
      <c r="K344" s="72"/>
      <c r="L344" s="69" t="str">
        <f t="shared" si="1"/>
        <v>off set</v>
      </c>
    </row>
    <row r="345" ht="22.5" customHeight="1">
      <c r="A345" s="59">
        <v>344.0</v>
      </c>
      <c r="B345" s="63"/>
      <c r="C345" s="74"/>
      <c r="D345" s="63"/>
      <c r="E345" s="63"/>
      <c r="F345" s="63"/>
      <c r="G345" s="65"/>
      <c r="H345" s="75" t="str">
        <f>IF(B345 = "Smile", G345 + 'Over View'!$B$3, IF(B345 = "Bianco" , G345 + 'Over View'!$B$4, IF(B345 = "Giallo" , G345 + 'Over View'!$B$5, IF(B345 = "Blu" , G345 + 'Over View'!$B$6, IF(B345 = "Verde" , G345 + 'Over View'!$B$7, IF(B345 = "Rosso" , G345 + 'Over View'!$B$8, "Grado Non Inserito") )))))</f>
        <v>Grado Non Inserito</v>
      </c>
      <c r="I345" s="66" t="b">
        <v>0</v>
      </c>
      <c r="J345" s="71"/>
      <c r="K345" s="72"/>
      <c r="L345" s="69" t="str">
        <f t="shared" si="1"/>
        <v>off set</v>
      </c>
    </row>
    <row r="346" ht="22.5" customHeight="1">
      <c r="A346" s="59">
        <v>345.0</v>
      </c>
      <c r="B346" s="63"/>
      <c r="C346" s="74"/>
      <c r="D346" s="63"/>
      <c r="E346" s="63"/>
      <c r="F346" s="63"/>
      <c r="G346" s="65"/>
      <c r="H346" s="75" t="str">
        <f>IF(B346 = "Smile", G346 + 'Over View'!$B$3, IF(B346 = "Bianco" , G346 + 'Over View'!$B$4, IF(B346 = "Giallo" , G346 + 'Over View'!$B$5, IF(B346 = "Blu" , G346 + 'Over View'!$B$6, IF(B346 = "Verde" , G346 + 'Over View'!$B$7, IF(B346 = "Rosso" , G346 + 'Over View'!$B$8, "Grado Non Inserito") )))))</f>
        <v>Grado Non Inserito</v>
      </c>
      <c r="I346" s="66" t="b">
        <v>0</v>
      </c>
      <c r="J346" s="71"/>
      <c r="K346" s="72"/>
      <c r="L346" s="69" t="str">
        <f t="shared" si="1"/>
        <v>off set</v>
      </c>
    </row>
    <row r="347" ht="22.5" customHeight="1">
      <c r="A347" s="59">
        <v>346.0</v>
      </c>
      <c r="B347" s="63"/>
      <c r="C347" s="74"/>
      <c r="D347" s="63"/>
      <c r="E347" s="63"/>
      <c r="F347" s="63"/>
      <c r="G347" s="65"/>
      <c r="H347" s="75" t="str">
        <f>IF(B347 = "Smile", G347 + 'Over View'!$B$3, IF(B347 = "Bianco" , G347 + 'Over View'!$B$4, IF(B347 = "Giallo" , G347 + 'Over View'!$B$5, IF(B347 = "Blu" , G347 + 'Over View'!$B$6, IF(B347 = "Verde" , G347 + 'Over View'!$B$7, IF(B347 = "Rosso" , G347 + 'Over View'!$B$8, "Grado Non Inserito") )))))</f>
        <v>Grado Non Inserito</v>
      </c>
      <c r="I347" s="66" t="b">
        <v>0</v>
      </c>
      <c r="J347" s="71"/>
      <c r="K347" s="72"/>
      <c r="L347" s="69" t="str">
        <f t="shared" si="1"/>
        <v>off set</v>
      </c>
    </row>
    <row r="348" ht="22.5" customHeight="1">
      <c r="A348" s="59">
        <v>347.0</v>
      </c>
      <c r="B348" s="63"/>
      <c r="C348" s="74"/>
      <c r="D348" s="63"/>
      <c r="E348" s="63"/>
      <c r="F348" s="63"/>
      <c r="G348" s="65"/>
      <c r="H348" s="75" t="str">
        <f>IF(B348 = "Smile", G348 + 'Over View'!$B$3, IF(B348 = "Bianco" , G348 + 'Over View'!$B$4, IF(B348 = "Giallo" , G348 + 'Over View'!$B$5, IF(B348 = "Blu" , G348 + 'Over View'!$B$6, IF(B348 = "Verde" , G348 + 'Over View'!$B$7, IF(B348 = "Rosso" , G348 + 'Over View'!$B$8, "Grado Non Inserito") )))))</f>
        <v>Grado Non Inserito</v>
      </c>
      <c r="I348" s="66" t="b">
        <v>0</v>
      </c>
      <c r="J348" s="71"/>
      <c r="K348" s="72"/>
      <c r="L348" s="69" t="str">
        <f t="shared" si="1"/>
        <v>off set</v>
      </c>
    </row>
    <row r="349" ht="22.5" customHeight="1">
      <c r="A349" s="59">
        <v>348.0</v>
      </c>
      <c r="B349" s="63"/>
      <c r="C349" s="74"/>
      <c r="D349" s="63"/>
      <c r="E349" s="63"/>
      <c r="F349" s="63"/>
      <c r="G349" s="65"/>
      <c r="H349" s="75" t="str">
        <f>IF(B349 = "Smile", G349 + 'Over View'!$B$3, IF(B349 = "Bianco" , G349 + 'Over View'!$B$4, IF(B349 = "Giallo" , G349 + 'Over View'!$B$5, IF(B349 = "Blu" , G349 + 'Over View'!$B$6, IF(B349 = "Verde" , G349 + 'Over View'!$B$7, IF(B349 = "Rosso" , G349 + 'Over View'!$B$8, "Grado Non Inserito") )))))</f>
        <v>Grado Non Inserito</v>
      </c>
      <c r="I349" s="66" t="b">
        <v>0</v>
      </c>
      <c r="J349" s="71"/>
      <c r="K349" s="72"/>
      <c r="L349" s="69" t="str">
        <f t="shared" si="1"/>
        <v>off set</v>
      </c>
    </row>
    <row r="350" ht="22.5" customHeight="1">
      <c r="A350" s="59">
        <v>349.0</v>
      </c>
      <c r="B350" s="63"/>
      <c r="C350" s="74"/>
      <c r="D350" s="63"/>
      <c r="E350" s="63"/>
      <c r="F350" s="63"/>
      <c r="G350" s="65"/>
      <c r="H350" s="75" t="str">
        <f>IF(B350 = "Smile", G350 + 'Over View'!$B$3, IF(B350 = "Bianco" , G350 + 'Over View'!$B$4, IF(B350 = "Giallo" , G350 + 'Over View'!$B$5, IF(B350 = "Blu" , G350 + 'Over View'!$B$6, IF(B350 = "Verde" , G350 + 'Over View'!$B$7, IF(B350 = "Rosso" , G350 + 'Over View'!$B$8, "Grado Non Inserito") )))))</f>
        <v>Grado Non Inserito</v>
      </c>
      <c r="I350" s="66" t="b">
        <v>0</v>
      </c>
      <c r="J350" s="71"/>
      <c r="K350" s="72"/>
      <c r="L350" s="69" t="str">
        <f t="shared" si="1"/>
        <v>off set</v>
      </c>
    </row>
    <row r="351" ht="22.5" customHeight="1">
      <c r="A351" s="59">
        <v>350.0</v>
      </c>
      <c r="B351" s="63"/>
      <c r="C351" s="74"/>
      <c r="D351" s="63"/>
      <c r="E351" s="63"/>
      <c r="F351" s="63"/>
      <c r="G351" s="65"/>
      <c r="H351" s="75" t="str">
        <f>IF(B351 = "Smile", G351 + 'Over View'!$B$3, IF(B351 = "Bianco" , G351 + 'Over View'!$B$4, IF(B351 = "Giallo" , G351 + 'Over View'!$B$5, IF(B351 = "Blu" , G351 + 'Over View'!$B$6, IF(B351 = "Verde" , G351 + 'Over View'!$B$7, IF(B351 = "Rosso" , G351 + 'Over View'!$B$8, "Grado Non Inserito") )))))</f>
        <v>Grado Non Inserito</v>
      </c>
      <c r="I351" s="66" t="b">
        <v>0</v>
      </c>
      <c r="J351" s="71"/>
      <c r="K351" s="72"/>
      <c r="L351" s="69" t="str">
        <f t="shared" si="1"/>
        <v>off set</v>
      </c>
    </row>
    <row r="352" ht="22.5" customHeight="1">
      <c r="A352" s="59">
        <v>351.0</v>
      </c>
      <c r="B352" s="63"/>
      <c r="C352" s="74"/>
      <c r="D352" s="63"/>
      <c r="E352" s="63"/>
      <c r="F352" s="63"/>
      <c r="G352" s="65"/>
      <c r="H352" s="75" t="str">
        <f>IF(B352 = "Smile", G352 + 'Over View'!$B$3, IF(B352 = "Bianco" , G352 + 'Over View'!$B$4, IF(B352 = "Giallo" , G352 + 'Over View'!$B$5, IF(B352 = "Blu" , G352 + 'Over View'!$B$6, IF(B352 = "Verde" , G352 + 'Over View'!$B$7, IF(B352 = "Rosso" , G352 + 'Over View'!$B$8, "Grado Non Inserito") )))))</f>
        <v>Grado Non Inserito</v>
      </c>
      <c r="I352" s="66" t="b">
        <v>0</v>
      </c>
      <c r="J352" s="71"/>
      <c r="K352" s="72"/>
      <c r="L352" s="69" t="str">
        <f t="shared" si="1"/>
        <v>off set</v>
      </c>
    </row>
    <row r="353" ht="22.5" customHeight="1">
      <c r="A353" s="59">
        <v>352.0</v>
      </c>
      <c r="B353" s="63"/>
      <c r="C353" s="74"/>
      <c r="D353" s="63"/>
      <c r="E353" s="63"/>
      <c r="F353" s="63"/>
      <c r="G353" s="65"/>
      <c r="H353" s="75" t="str">
        <f>IF(B353 = "Smile", G353 + 'Over View'!$B$3, IF(B353 = "Bianco" , G353 + 'Over View'!$B$4, IF(B353 = "Giallo" , G353 + 'Over View'!$B$5, IF(B353 = "Blu" , G353 + 'Over View'!$B$6, IF(B353 = "Verde" , G353 + 'Over View'!$B$7, IF(B353 = "Rosso" , G353 + 'Over View'!$B$8, "Grado Non Inserito") )))))</f>
        <v>Grado Non Inserito</v>
      </c>
      <c r="I353" s="66" t="b">
        <v>0</v>
      </c>
      <c r="J353" s="71"/>
      <c r="K353" s="72"/>
      <c r="L353" s="69" t="str">
        <f t="shared" si="1"/>
        <v>off set</v>
      </c>
    </row>
    <row r="354" ht="22.5" customHeight="1">
      <c r="A354" s="59">
        <v>353.0</v>
      </c>
      <c r="B354" s="63"/>
      <c r="C354" s="74"/>
      <c r="D354" s="63"/>
      <c r="E354" s="63"/>
      <c r="F354" s="63"/>
      <c r="G354" s="65"/>
      <c r="H354" s="75" t="str">
        <f>IF(B354 = "Smile", G354 + 'Over View'!$B$3, IF(B354 = "Bianco" , G354 + 'Over View'!$B$4, IF(B354 = "Giallo" , G354 + 'Over View'!$B$5, IF(B354 = "Blu" , G354 + 'Over View'!$B$6, IF(B354 = "Verde" , G354 + 'Over View'!$B$7, IF(B354 = "Rosso" , G354 + 'Over View'!$B$8, "Grado Non Inserito") )))))</f>
        <v>Grado Non Inserito</v>
      </c>
      <c r="I354" s="66" t="b">
        <v>0</v>
      </c>
      <c r="J354" s="71"/>
      <c r="K354" s="72"/>
      <c r="L354" s="69" t="str">
        <f t="shared" si="1"/>
        <v>off set</v>
      </c>
    </row>
    <row r="355" ht="22.5" customHeight="1">
      <c r="A355" s="59">
        <v>354.0</v>
      </c>
      <c r="B355" s="63"/>
      <c r="C355" s="74"/>
      <c r="D355" s="63"/>
      <c r="E355" s="63"/>
      <c r="F355" s="63"/>
      <c r="G355" s="65"/>
      <c r="H355" s="75" t="str">
        <f>IF(B355 = "Smile", G355 + 'Over View'!$B$3, IF(B355 = "Bianco" , G355 + 'Over View'!$B$4, IF(B355 = "Giallo" , G355 + 'Over View'!$B$5, IF(B355 = "Blu" , G355 + 'Over View'!$B$6, IF(B355 = "Verde" , G355 + 'Over View'!$B$7, IF(B355 = "Rosso" , G355 + 'Over View'!$B$8, "Grado Non Inserito") )))))</f>
        <v>Grado Non Inserito</v>
      </c>
      <c r="I355" s="66" t="b">
        <v>0</v>
      </c>
      <c r="J355" s="71"/>
      <c r="K355" s="72"/>
      <c r="L355" s="69" t="str">
        <f t="shared" si="1"/>
        <v>off set</v>
      </c>
    </row>
    <row r="356" ht="22.5" customHeight="1">
      <c r="A356" s="59">
        <v>355.0</v>
      </c>
      <c r="B356" s="63"/>
      <c r="C356" s="74"/>
      <c r="D356" s="63"/>
      <c r="E356" s="63"/>
      <c r="F356" s="63"/>
      <c r="G356" s="65"/>
      <c r="H356" s="75" t="str">
        <f>IF(B356 = "Smile", G356 + 'Over View'!$B$3, IF(B356 = "Bianco" , G356 + 'Over View'!$B$4, IF(B356 = "Giallo" , G356 + 'Over View'!$B$5, IF(B356 = "Blu" , G356 + 'Over View'!$B$6, IF(B356 = "Verde" , G356 + 'Over View'!$B$7, IF(B356 = "Rosso" , G356 + 'Over View'!$B$8, "Grado Non Inserito") )))))</f>
        <v>Grado Non Inserito</v>
      </c>
      <c r="I356" s="66" t="b">
        <v>0</v>
      </c>
      <c r="J356" s="71"/>
      <c r="K356" s="72"/>
      <c r="L356" s="69" t="str">
        <f t="shared" si="1"/>
        <v>off set</v>
      </c>
    </row>
    <row r="357" ht="22.5" customHeight="1">
      <c r="A357" s="59">
        <v>356.0</v>
      </c>
      <c r="B357" s="63"/>
      <c r="C357" s="74"/>
      <c r="D357" s="63"/>
      <c r="E357" s="63"/>
      <c r="F357" s="63"/>
      <c r="G357" s="65"/>
      <c r="H357" s="75" t="str">
        <f>IF(B357 = "Smile", G357 + 'Over View'!$B$3, IF(B357 = "Bianco" , G357 + 'Over View'!$B$4, IF(B357 = "Giallo" , G357 + 'Over View'!$B$5, IF(B357 = "Blu" , G357 + 'Over View'!$B$6, IF(B357 = "Verde" , G357 + 'Over View'!$B$7, IF(B357 = "Rosso" , G357 + 'Over View'!$B$8, "Grado Non Inserito") )))))</f>
        <v>Grado Non Inserito</v>
      </c>
      <c r="I357" s="66" t="b">
        <v>0</v>
      </c>
      <c r="J357" s="71"/>
      <c r="K357" s="72"/>
      <c r="L357" s="69" t="str">
        <f t="shared" si="1"/>
        <v>off set</v>
      </c>
    </row>
    <row r="358" ht="22.5" customHeight="1">
      <c r="A358" s="59">
        <v>357.0</v>
      </c>
      <c r="B358" s="63"/>
      <c r="C358" s="74"/>
      <c r="D358" s="63"/>
      <c r="E358" s="63"/>
      <c r="F358" s="63"/>
      <c r="G358" s="65"/>
      <c r="H358" s="75" t="str">
        <f>IF(B358 = "Smile", G358 + 'Over View'!$B$3, IF(B358 = "Bianco" , G358 + 'Over View'!$B$4, IF(B358 = "Giallo" , G358 + 'Over View'!$B$5, IF(B358 = "Blu" , G358 + 'Over View'!$B$6, IF(B358 = "Verde" , G358 + 'Over View'!$B$7, IF(B358 = "Rosso" , G358 + 'Over View'!$B$8, "Grado Non Inserito") )))))</f>
        <v>Grado Non Inserito</v>
      </c>
      <c r="I358" s="66" t="b">
        <v>0</v>
      </c>
      <c r="J358" s="71"/>
      <c r="K358" s="72"/>
      <c r="L358" s="69" t="str">
        <f t="shared" si="1"/>
        <v>off set</v>
      </c>
    </row>
    <row r="359" ht="22.5" customHeight="1">
      <c r="A359" s="59">
        <v>358.0</v>
      </c>
      <c r="B359" s="63"/>
      <c r="C359" s="74"/>
      <c r="D359" s="63"/>
      <c r="E359" s="63"/>
      <c r="F359" s="63"/>
      <c r="G359" s="65"/>
      <c r="H359" s="75" t="str">
        <f>IF(B359 = "Smile", G359 + 'Over View'!$B$3, IF(B359 = "Bianco" , G359 + 'Over View'!$B$4, IF(B359 = "Giallo" , G359 + 'Over View'!$B$5, IF(B359 = "Blu" , G359 + 'Over View'!$B$6, IF(B359 = "Verde" , G359 + 'Over View'!$B$7, IF(B359 = "Rosso" , G359 + 'Over View'!$B$8, "Grado Non Inserito") )))))</f>
        <v>Grado Non Inserito</v>
      </c>
      <c r="I359" s="66" t="b">
        <v>0</v>
      </c>
      <c r="J359" s="71"/>
      <c r="K359" s="72"/>
      <c r="L359" s="69" t="str">
        <f t="shared" si="1"/>
        <v>off set</v>
      </c>
    </row>
    <row r="360" ht="22.5" customHeight="1">
      <c r="A360" s="59">
        <v>359.0</v>
      </c>
      <c r="B360" s="63"/>
      <c r="C360" s="74"/>
      <c r="D360" s="63"/>
      <c r="E360" s="63"/>
      <c r="F360" s="63"/>
      <c r="G360" s="65"/>
      <c r="H360" s="75" t="str">
        <f>IF(B360 = "Smile", G360 + 'Over View'!$B$3, IF(B360 = "Bianco" , G360 + 'Over View'!$B$4, IF(B360 = "Giallo" , G360 + 'Over View'!$B$5, IF(B360 = "Blu" , G360 + 'Over View'!$B$6, IF(B360 = "Verde" , G360 + 'Over View'!$B$7, IF(B360 = "Rosso" , G360 + 'Over View'!$B$8, "Grado Non Inserito") )))))</f>
        <v>Grado Non Inserito</v>
      </c>
      <c r="I360" s="66" t="b">
        <v>0</v>
      </c>
      <c r="J360" s="71"/>
      <c r="K360" s="72"/>
      <c r="L360" s="69" t="str">
        <f t="shared" si="1"/>
        <v>off set</v>
      </c>
    </row>
    <row r="361" ht="22.5" customHeight="1">
      <c r="A361" s="59">
        <v>360.0</v>
      </c>
      <c r="B361" s="63"/>
      <c r="C361" s="74"/>
      <c r="D361" s="63"/>
      <c r="E361" s="63"/>
      <c r="F361" s="63"/>
      <c r="G361" s="65"/>
      <c r="H361" s="75" t="str">
        <f>IF(B361 = "Smile", G361 + 'Over View'!$B$3, IF(B361 = "Bianco" , G361 + 'Over View'!$B$4, IF(B361 = "Giallo" , G361 + 'Over View'!$B$5, IF(B361 = "Blu" , G361 + 'Over View'!$B$6, IF(B361 = "Verde" , G361 + 'Over View'!$B$7, IF(B361 = "Rosso" , G361 + 'Over View'!$B$8, "Grado Non Inserito") )))))</f>
        <v>Grado Non Inserito</v>
      </c>
      <c r="I361" s="66" t="b">
        <v>0</v>
      </c>
      <c r="J361" s="71"/>
      <c r="K361" s="72"/>
      <c r="L361" s="69" t="str">
        <f t="shared" si="1"/>
        <v>off set</v>
      </c>
    </row>
    <row r="362" ht="22.5" customHeight="1">
      <c r="A362" s="59">
        <v>361.0</v>
      </c>
      <c r="B362" s="63"/>
      <c r="C362" s="74"/>
      <c r="D362" s="63"/>
      <c r="E362" s="63"/>
      <c r="F362" s="63"/>
      <c r="G362" s="65"/>
      <c r="H362" s="75" t="str">
        <f>IF(B362 = "Smile", G362 + 'Over View'!$B$3, IF(B362 = "Bianco" , G362 + 'Over View'!$B$4, IF(B362 = "Giallo" , G362 + 'Over View'!$B$5, IF(B362 = "Blu" , G362 + 'Over View'!$B$6, IF(B362 = "Verde" , G362 + 'Over View'!$B$7, IF(B362 = "Rosso" , G362 + 'Over View'!$B$8, "Grado Non Inserito") )))))</f>
        <v>Grado Non Inserito</v>
      </c>
      <c r="I362" s="66" t="b">
        <v>0</v>
      </c>
      <c r="J362" s="71"/>
      <c r="K362" s="72"/>
      <c r="L362" s="69" t="str">
        <f t="shared" si="1"/>
        <v>off set</v>
      </c>
    </row>
    <row r="363" ht="22.5" customHeight="1">
      <c r="A363" s="59">
        <v>362.0</v>
      </c>
      <c r="B363" s="63"/>
      <c r="C363" s="74"/>
      <c r="D363" s="63"/>
      <c r="E363" s="63"/>
      <c r="F363" s="63"/>
      <c r="G363" s="65"/>
      <c r="H363" s="75" t="str">
        <f>IF(B363 = "Smile", G363 + 'Over View'!$B$3, IF(B363 = "Bianco" , G363 + 'Over View'!$B$4, IF(B363 = "Giallo" , G363 + 'Over View'!$B$5, IF(B363 = "Blu" , G363 + 'Over View'!$B$6, IF(B363 = "Verde" , G363 + 'Over View'!$B$7, IF(B363 = "Rosso" , G363 + 'Over View'!$B$8, "Grado Non Inserito") )))))</f>
        <v>Grado Non Inserito</v>
      </c>
      <c r="I363" s="66" t="b">
        <v>0</v>
      </c>
      <c r="J363" s="71"/>
      <c r="K363" s="72"/>
      <c r="L363" s="69" t="str">
        <f t="shared" si="1"/>
        <v>off set</v>
      </c>
    </row>
    <row r="364" ht="22.5" customHeight="1">
      <c r="A364" s="59">
        <v>363.0</v>
      </c>
      <c r="B364" s="63"/>
      <c r="C364" s="74"/>
      <c r="D364" s="63"/>
      <c r="E364" s="63"/>
      <c r="F364" s="63"/>
      <c r="G364" s="65"/>
      <c r="H364" s="75" t="str">
        <f>IF(B364 = "Smile", G364 + 'Over View'!$B$3, IF(B364 = "Bianco" , G364 + 'Over View'!$B$4, IF(B364 = "Giallo" , G364 + 'Over View'!$B$5, IF(B364 = "Blu" , G364 + 'Over View'!$B$6, IF(B364 = "Verde" , G364 + 'Over View'!$B$7, IF(B364 = "Rosso" , G364 + 'Over View'!$B$8, "Grado Non Inserito") )))))</f>
        <v>Grado Non Inserito</v>
      </c>
      <c r="I364" s="66" t="b">
        <v>0</v>
      </c>
      <c r="J364" s="71"/>
      <c r="K364" s="72"/>
      <c r="L364" s="69" t="str">
        <f t="shared" si="1"/>
        <v>off set</v>
      </c>
    </row>
    <row r="365" ht="22.5" customHeight="1">
      <c r="A365" s="59">
        <v>364.0</v>
      </c>
      <c r="B365" s="63"/>
      <c r="C365" s="74"/>
      <c r="D365" s="63"/>
      <c r="E365" s="63"/>
      <c r="F365" s="63"/>
      <c r="G365" s="65"/>
      <c r="H365" s="75" t="str">
        <f>IF(B365 = "Smile", G365 + 'Over View'!$B$3, IF(B365 = "Bianco" , G365 + 'Over View'!$B$4, IF(B365 = "Giallo" , G365 + 'Over View'!$B$5, IF(B365 = "Blu" , G365 + 'Over View'!$B$6, IF(B365 = "Verde" , G365 + 'Over View'!$B$7, IF(B365 = "Rosso" , G365 + 'Over View'!$B$8, "Grado Non Inserito") )))))</f>
        <v>Grado Non Inserito</v>
      </c>
      <c r="I365" s="66" t="b">
        <v>0</v>
      </c>
      <c r="J365" s="71"/>
      <c r="K365" s="72"/>
      <c r="L365" s="69" t="str">
        <f t="shared" si="1"/>
        <v>off set</v>
      </c>
    </row>
    <row r="366" ht="22.5" customHeight="1">
      <c r="A366" s="59">
        <v>365.0</v>
      </c>
      <c r="B366" s="63"/>
      <c r="C366" s="74"/>
      <c r="D366" s="63"/>
      <c r="E366" s="63"/>
      <c r="F366" s="63"/>
      <c r="G366" s="65"/>
      <c r="H366" s="75" t="str">
        <f>IF(B366 = "Smile", G366 + 'Over View'!$B$3, IF(B366 = "Bianco" , G366 + 'Over View'!$B$4, IF(B366 = "Giallo" , G366 + 'Over View'!$B$5, IF(B366 = "Blu" , G366 + 'Over View'!$B$6, IF(B366 = "Verde" , G366 + 'Over View'!$B$7, IF(B366 = "Rosso" , G366 + 'Over View'!$B$8, "Grado Non Inserito") )))))</f>
        <v>Grado Non Inserito</v>
      </c>
      <c r="I366" s="66" t="b">
        <v>0</v>
      </c>
      <c r="J366" s="71"/>
      <c r="K366" s="72"/>
      <c r="L366" s="69" t="str">
        <f t="shared" si="1"/>
        <v>off set</v>
      </c>
    </row>
    <row r="367" ht="22.5" customHeight="1">
      <c r="A367" s="59">
        <v>366.0</v>
      </c>
      <c r="B367" s="63"/>
      <c r="C367" s="74"/>
      <c r="D367" s="63"/>
      <c r="E367" s="63"/>
      <c r="F367" s="63"/>
      <c r="G367" s="65"/>
      <c r="H367" s="75" t="str">
        <f>IF(B367 = "Smile", G367 + 'Over View'!$B$3, IF(B367 = "Bianco" , G367 + 'Over View'!$B$4, IF(B367 = "Giallo" , G367 + 'Over View'!$B$5, IF(B367 = "Blu" , G367 + 'Over View'!$B$6, IF(B367 = "Verde" , G367 + 'Over View'!$B$7, IF(B367 = "Rosso" , G367 + 'Over View'!$B$8, "Grado Non Inserito") )))))</f>
        <v>Grado Non Inserito</v>
      </c>
      <c r="I367" s="66" t="b">
        <v>0</v>
      </c>
      <c r="J367" s="71"/>
      <c r="K367" s="72"/>
      <c r="L367" s="69" t="str">
        <f t="shared" si="1"/>
        <v>off set</v>
      </c>
    </row>
    <row r="368" ht="22.5" customHeight="1">
      <c r="A368" s="59">
        <v>367.0</v>
      </c>
      <c r="B368" s="63"/>
      <c r="C368" s="74"/>
      <c r="D368" s="63"/>
      <c r="E368" s="63"/>
      <c r="F368" s="63"/>
      <c r="G368" s="65"/>
      <c r="H368" s="75" t="str">
        <f>IF(B368 = "Smile", G368 + 'Over View'!$B$3, IF(B368 = "Bianco" , G368 + 'Over View'!$B$4, IF(B368 = "Giallo" , G368 + 'Over View'!$B$5, IF(B368 = "Blu" , G368 + 'Over View'!$B$6, IF(B368 = "Verde" , G368 + 'Over View'!$B$7, IF(B368 = "Rosso" , G368 + 'Over View'!$B$8, "Grado Non Inserito") )))))</f>
        <v>Grado Non Inserito</v>
      </c>
      <c r="I368" s="66" t="b">
        <v>0</v>
      </c>
      <c r="J368" s="71"/>
      <c r="K368" s="72"/>
      <c r="L368" s="69" t="str">
        <f t="shared" si="1"/>
        <v>off set</v>
      </c>
    </row>
    <row r="369" ht="22.5" customHeight="1">
      <c r="A369" s="59">
        <v>368.0</v>
      </c>
      <c r="B369" s="63"/>
      <c r="C369" s="74"/>
      <c r="D369" s="63"/>
      <c r="E369" s="63"/>
      <c r="F369" s="63"/>
      <c r="G369" s="65"/>
      <c r="H369" s="75" t="str">
        <f>IF(B369 = "Smile", G369 + 'Over View'!$B$3, IF(B369 = "Bianco" , G369 + 'Over View'!$B$4, IF(B369 = "Giallo" , G369 + 'Over View'!$B$5, IF(B369 = "Blu" , G369 + 'Over View'!$B$6, IF(B369 = "Verde" , G369 + 'Over View'!$B$7, IF(B369 = "Rosso" , G369 + 'Over View'!$B$8, "Grado Non Inserito") )))))</f>
        <v>Grado Non Inserito</v>
      </c>
      <c r="I369" s="66" t="b">
        <v>0</v>
      </c>
      <c r="J369" s="71"/>
      <c r="K369" s="72"/>
      <c r="L369" s="69" t="str">
        <f t="shared" si="1"/>
        <v>off set</v>
      </c>
    </row>
    <row r="370" ht="22.5" customHeight="1">
      <c r="A370" s="59">
        <v>369.0</v>
      </c>
      <c r="B370" s="63"/>
      <c r="C370" s="74"/>
      <c r="D370" s="63"/>
      <c r="E370" s="63"/>
      <c r="F370" s="63"/>
      <c r="G370" s="65"/>
      <c r="H370" s="75" t="str">
        <f>IF(B370 = "Smile", G370 + 'Over View'!$B$3, IF(B370 = "Bianco" , G370 + 'Over View'!$B$4, IF(B370 = "Giallo" , G370 + 'Over View'!$B$5, IF(B370 = "Blu" , G370 + 'Over View'!$B$6, IF(B370 = "Verde" , G370 + 'Over View'!$B$7, IF(B370 = "Rosso" , G370 + 'Over View'!$B$8, "Grado Non Inserito") )))))</f>
        <v>Grado Non Inserito</v>
      </c>
      <c r="I370" s="66" t="b">
        <v>0</v>
      </c>
      <c r="J370" s="71"/>
      <c r="K370" s="72"/>
      <c r="L370" s="69" t="str">
        <f t="shared" si="1"/>
        <v>off set</v>
      </c>
    </row>
    <row r="371" ht="22.5" customHeight="1">
      <c r="A371" s="59">
        <v>370.0</v>
      </c>
      <c r="B371" s="63"/>
      <c r="C371" s="74"/>
      <c r="D371" s="63"/>
      <c r="E371" s="63"/>
      <c r="F371" s="63"/>
      <c r="G371" s="65"/>
      <c r="H371" s="75" t="str">
        <f>IF(B371 = "Smile", G371 + 'Over View'!$B$3, IF(B371 = "Bianco" , G371 + 'Over View'!$B$4, IF(B371 = "Giallo" , G371 + 'Over View'!$B$5, IF(B371 = "Blu" , G371 + 'Over View'!$B$6, IF(B371 = "Verde" , G371 + 'Over View'!$B$7, IF(B371 = "Rosso" , G371 + 'Over View'!$B$8, "Grado Non Inserito") )))))</f>
        <v>Grado Non Inserito</v>
      </c>
      <c r="I371" s="66" t="b">
        <v>0</v>
      </c>
      <c r="J371" s="71"/>
      <c r="K371" s="72"/>
      <c r="L371" s="69" t="str">
        <f t="shared" si="1"/>
        <v>off set</v>
      </c>
    </row>
    <row r="372" ht="22.5" customHeight="1">
      <c r="A372" s="59">
        <v>371.0</v>
      </c>
      <c r="B372" s="63"/>
      <c r="C372" s="74"/>
      <c r="D372" s="63"/>
      <c r="E372" s="63"/>
      <c r="F372" s="63"/>
      <c r="G372" s="65"/>
      <c r="H372" s="75" t="str">
        <f>IF(B372 = "Smile", G372 + 'Over View'!$B$3, IF(B372 = "Bianco" , G372 + 'Over View'!$B$4, IF(B372 = "Giallo" , G372 + 'Over View'!$B$5, IF(B372 = "Blu" , G372 + 'Over View'!$B$6, IF(B372 = "Verde" , G372 + 'Over View'!$B$7, IF(B372 = "Rosso" , G372 + 'Over View'!$B$8, "Grado Non Inserito") )))))</f>
        <v>Grado Non Inserito</v>
      </c>
      <c r="I372" s="66" t="b">
        <v>0</v>
      </c>
      <c r="J372" s="71"/>
      <c r="K372" s="72"/>
      <c r="L372" s="69" t="str">
        <f t="shared" si="1"/>
        <v>off set</v>
      </c>
    </row>
    <row r="373" ht="22.5" customHeight="1">
      <c r="A373" s="59">
        <v>372.0</v>
      </c>
      <c r="B373" s="63"/>
      <c r="C373" s="74"/>
      <c r="D373" s="63"/>
      <c r="E373" s="63"/>
      <c r="F373" s="63"/>
      <c r="G373" s="65"/>
      <c r="H373" s="75" t="str">
        <f>IF(B373 = "Smile", G373 + 'Over View'!$B$3, IF(B373 = "Bianco" , G373 + 'Over View'!$B$4, IF(B373 = "Giallo" , G373 + 'Over View'!$B$5, IF(B373 = "Blu" , G373 + 'Over View'!$B$6, IF(B373 = "Verde" , G373 + 'Over View'!$B$7, IF(B373 = "Rosso" , G373 + 'Over View'!$B$8, "Grado Non Inserito") )))))</f>
        <v>Grado Non Inserito</v>
      </c>
      <c r="I373" s="66" t="b">
        <v>0</v>
      </c>
      <c r="J373" s="71"/>
      <c r="K373" s="72"/>
      <c r="L373" s="69" t="str">
        <f t="shared" si="1"/>
        <v>off set</v>
      </c>
    </row>
    <row r="374" ht="22.5" customHeight="1">
      <c r="A374" s="59">
        <v>373.0</v>
      </c>
      <c r="B374" s="63"/>
      <c r="C374" s="74"/>
      <c r="D374" s="63"/>
      <c r="E374" s="63"/>
      <c r="F374" s="63"/>
      <c r="G374" s="65"/>
      <c r="H374" s="75" t="str">
        <f>IF(B374 = "Smile", G374 + 'Over View'!$B$3, IF(B374 = "Bianco" , G374 + 'Over View'!$B$4, IF(B374 = "Giallo" , G374 + 'Over View'!$B$5, IF(B374 = "Blu" , G374 + 'Over View'!$B$6, IF(B374 = "Verde" , G374 + 'Over View'!$B$7, IF(B374 = "Rosso" , G374 + 'Over View'!$B$8, "Grado Non Inserito") )))))</f>
        <v>Grado Non Inserito</v>
      </c>
      <c r="I374" s="66" t="b">
        <v>0</v>
      </c>
      <c r="J374" s="71"/>
      <c r="K374" s="72"/>
      <c r="L374" s="69" t="str">
        <f t="shared" si="1"/>
        <v>off set</v>
      </c>
    </row>
    <row r="375" ht="22.5" customHeight="1">
      <c r="A375" s="59">
        <v>374.0</v>
      </c>
      <c r="B375" s="63"/>
      <c r="C375" s="74"/>
      <c r="D375" s="63"/>
      <c r="E375" s="63"/>
      <c r="F375" s="63"/>
      <c r="G375" s="65"/>
      <c r="H375" s="75" t="str">
        <f>IF(B375 = "Smile", G375 + 'Over View'!$B$3, IF(B375 = "Bianco" , G375 + 'Over View'!$B$4, IF(B375 = "Giallo" , G375 + 'Over View'!$B$5, IF(B375 = "Blu" , G375 + 'Over View'!$B$6, IF(B375 = "Verde" , G375 + 'Over View'!$B$7, IF(B375 = "Rosso" , G375 + 'Over View'!$B$8, "Grado Non Inserito") )))))</f>
        <v>Grado Non Inserito</v>
      </c>
      <c r="I375" s="66" t="b">
        <v>0</v>
      </c>
      <c r="J375" s="71"/>
      <c r="K375" s="72"/>
      <c r="L375" s="69" t="str">
        <f t="shared" si="1"/>
        <v>off set</v>
      </c>
    </row>
    <row r="376" ht="22.5" customHeight="1">
      <c r="A376" s="59">
        <v>375.0</v>
      </c>
      <c r="B376" s="63"/>
      <c r="C376" s="74"/>
      <c r="D376" s="63"/>
      <c r="E376" s="63"/>
      <c r="F376" s="63"/>
      <c r="G376" s="65"/>
      <c r="H376" s="75" t="str">
        <f>IF(B376 = "Smile", G376 + 'Over View'!$B$3, IF(B376 = "Bianco" , G376 + 'Over View'!$B$4, IF(B376 = "Giallo" , G376 + 'Over View'!$B$5, IF(B376 = "Blu" , G376 + 'Over View'!$B$6, IF(B376 = "Verde" , G376 + 'Over View'!$B$7, IF(B376 = "Rosso" , G376 + 'Over View'!$B$8, "Grado Non Inserito") )))))</f>
        <v>Grado Non Inserito</v>
      </c>
      <c r="I376" s="66" t="b">
        <v>0</v>
      </c>
      <c r="J376" s="71"/>
      <c r="K376" s="72"/>
      <c r="L376" s="69" t="str">
        <f t="shared" si="1"/>
        <v>off set</v>
      </c>
    </row>
    <row r="377" ht="22.5" customHeight="1">
      <c r="A377" s="59">
        <v>376.0</v>
      </c>
      <c r="B377" s="63"/>
      <c r="C377" s="74"/>
      <c r="D377" s="63"/>
      <c r="E377" s="63"/>
      <c r="F377" s="63"/>
      <c r="G377" s="65"/>
      <c r="H377" s="75" t="str">
        <f>IF(B377 = "Smile", G377 + 'Over View'!$B$3, IF(B377 = "Bianco" , G377 + 'Over View'!$B$4, IF(B377 = "Giallo" , G377 + 'Over View'!$B$5, IF(B377 = "Blu" , G377 + 'Over View'!$B$6, IF(B377 = "Verde" , G377 + 'Over View'!$B$7, IF(B377 = "Rosso" , G377 + 'Over View'!$B$8, "Grado Non Inserito") )))))</f>
        <v>Grado Non Inserito</v>
      </c>
      <c r="I377" s="66" t="b">
        <v>0</v>
      </c>
      <c r="J377" s="71"/>
      <c r="K377" s="72"/>
      <c r="L377" s="69" t="str">
        <f t="shared" si="1"/>
        <v>off set</v>
      </c>
    </row>
    <row r="378" ht="22.5" customHeight="1">
      <c r="A378" s="59">
        <v>377.0</v>
      </c>
      <c r="B378" s="63"/>
      <c r="C378" s="74"/>
      <c r="D378" s="63"/>
      <c r="E378" s="63"/>
      <c r="F378" s="63"/>
      <c r="G378" s="65"/>
      <c r="H378" s="75" t="str">
        <f>IF(B378 = "Smile", G378 + 'Over View'!$B$3, IF(B378 = "Bianco" , G378 + 'Over View'!$B$4, IF(B378 = "Giallo" , G378 + 'Over View'!$B$5, IF(B378 = "Blu" , G378 + 'Over View'!$B$6, IF(B378 = "Verde" , G378 + 'Over View'!$B$7, IF(B378 = "Rosso" , G378 + 'Over View'!$B$8, "Grado Non Inserito") )))))</f>
        <v>Grado Non Inserito</v>
      </c>
      <c r="I378" s="66" t="b">
        <v>0</v>
      </c>
      <c r="J378" s="71"/>
      <c r="K378" s="72"/>
      <c r="L378" s="69" t="str">
        <f t="shared" si="1"/>
        <v>off set</v>
      </c>
    </row>
    <row r="379" ht="22.5" customHeight="1">
      <c r="A379" s="59">
        <v>378.0</v>
      </c>
      <c r="B379" s="63"/>
      <c r="C379" s="74"/>
      <c r="D379" s="63"/>
      <c r="E379" s="63"/>
      <c r="F379" s="63"/>
      <c r="G379" s="65"/>
      <c r="H379" s="75" t="str">
        <f>IF(B379 = "Smile", G379 + 'Over View'!$B$3, IF(B379 = "Bianco" , G379 + 'Over View'!$B$4, IF(B379 = "Giallo" , G379 + 'Over View'!$B$5, IF(B379 = "Blu" , G379 + 'Over View'!$B$6, IF(B379 = "Verde" , G379 + 'Over View'!$B$7, IF(B379 = "Rosso" , G379 + 'Over View'!$B$8, "Grado Non Inserito") )))))</f>
        <v>Grado Non Inserito</v>
      </c>
      <c r="I379" s="66" t="b">
        <v>0</v>
      </c>
      <c r="J379" s="71"/>
      <c r="K379" s="72"/>
      <c r="L379" s="69" t="str">
        <f t="shared" si="1"/>
        <v>off set</v>
      </c>
    </row>
    <row r="380" ht="22.5" customHeight="1">
      <c r="A380" s="59">
        <v>379.0</v>
      </c>
      <c r="B380" s="63"/>
      <c r="C380" s="74"/>
      <c r="D380" s="63"/>
      <c r="E380" s="63"/>
      <c r="F380" s="63"/>
      <c r="G380" s="65"/>
      <c r="H380" s="75" t="str">
        <f>IF(B380 = "Smile", G380 + 'Over View'!$B$3, IF(B380 = "Bianco" , G380 + 'Over View'!$B$4, IF(B380 = "Giallo" , G380 + 'Over View'!$B$5, IF(B380 = "Blu" , G380 + 'Over View'!$B$6, IF(B380 = "Verde" , G380 + 'Over View'!$B$7, IF(B380 = "Rosso" , G380 + 'Over View'!$B$8, "Grado Non Inserito") )))))</f>
        <v>Grado Non Inserito</v>
      </c>
      <c r="I380" s="66" t="b">
        <v>0</v>
      </c>
      <c r="J380" s="71"/>
      <c r="K380" s="72"/>
      <c r="L380" s="69" t="str">
        <f t="shared" si="1"/>
        <v>off set</v>
      </c>
    </row>
    <row r="381" ht="22.5" customHeight="1">
      <c r="A381" s="59">
        <v>380.0</v>
      </c>
      <c r="B381" s="63"/>
      <c r="C381" s="74"/>
      <c r="D381" s="63"/>
      <c r="E381" s="63"/>
      <c r="F381" s="63"/>
      <c r="G381" s="65"/>
      <c r="H381" s="75" t="str">
        <f>IF(B381 = "Smile", G381 + 'Over View'!$B$3, IF(B381 = "Bianco" , G381 + 'Over View'!$B$4, IF(B381 = "Giallo" , G381 + 'Over View'!$B$5, IF(B381 = "Blu" , G381 + 'Over View'!$B$6, IF(B381 = "Verde" , G381 + 'Over View'!$B$7, IF(B381 = "Rosso" , G381 + 'Over View'!$B$8, "Grado Non Inserito") )))))</f>
        <v>Grado Non Inserito</v>
      </c>
      <c r="I381" s="66" t="b">
        <v>0</v>
      </c>
      <c r="J381" s="71"/>
      <c r="K381" s="72"/>
      <c r="L381" s="69" t="str">
        <f t="shared" si="1"/>
        <v>off set</v>
      </c>
    </row>
    <row r="382" ht="22.5" customHeight="1">
      <c r="A382" s="59">
        <v>381.0</v>
      </c>
      <c r="B382" s="63"/>
      <c r="C382" s="74"/>
      <c r="D382" s="63"/>
      <c r="E382" s="63"/>
      <c r="F382" s="63"/>
      <c r="G382" s="65"/>
      <c r="H382" s="75" t="str">
        <f>IF(B382 = "Smile", G382 + 'Over View'!$B$3, IF(B382 = "Bianco" , G382 + 'Over View'!$B$4, IF(B382 = "Giallo" , G382 + 'Over View'!$B$5, IF(B382 = "Blu" , G382 + 'Over View'!$B$6, IF(B382 = "Verde" , G382 + 'Over View'!$B$7, IF(B382 = "Rosso" , G382 + 'Over View'!$B$8, "Grado Non Inserito") )))))</f>
        <v>Grado Non Inserito</v>
      </c>
      <c r="I382" s="66" t="b">
        <v>0</v>
      </c>
      <c r="J382" s="71"/>
      <c r="K382" s="72"/>
      <c r="L382" s="69" t="str">
        <f t="shared" si="1"/>
        <v>off set</v>
      </c>
    </row>
    <row r="383" ht="22.5" customHeight="1">
      <c r="A383" s="59">
        <v>382.0</v>
      </c>
      <c r="B383" s="63"/>
      <c r="C383" s="74"/>
      <c r="D383" s="63"/>
      <c r="E383" s="63"/>
      <c r="F383" s="63"/>
      <c r="G383" s="65"/>
      <c r="H383" s="75" t="str">
        <f>IF(B383 = "Smile", G383 + 'Over View'!$B$3, IF(B383 = "Bianco" , G383 + 'Over View'!$B$4, IF(B383 = "Giallo" , G383 + 'Over View'!$B$5, IF(B383 = "Blu" , G383 + 'Over View'!$B$6, IF(B383 = "Verde" , G383 + 'Over View'!$B$7, IF(B383 = "Rosso" , G383 + 'Over View'!$B$8, "Grado Non Inserito") )))))</f>
        <v>Grado Non Inserito</v>
      </c>
      <c r="I383" s="66" t="b">
        <v>0</v>
      </c>
      <c r="J383" s="71"/>
      <c r="K383" s="72"/>
      <c r="L383" s="69" t="str">
        <f t="shared" si="1"/>
        <v>off set</v>
      </c>
    </row>
    <row r="384" ht="22.5" customHeight="1">
      <c r="A384" s="59">
        <v>383.0</v>
      </c>
      <c r="B384" s="63"/>
      <c r="C384" s="74"/>
      <c r="D384" s="63"/>
      <c r="E384" s="63"/>
      <c r="F384" s="63"/>
      <c r="G384" s="65"/>
      <c r="H384" s="75" t="str">
        <f>IF(B384 = "Smile", G384 + 'Over View'!$B$3, IF(B384 = "Bianco" , G384 + 'Over View'!$B$4, IF(B384 = "Giallo" , G384 + 'Over View'!$B$5, IF(B384 = "Blu" , G384 + 'Over View'!$B$6, IF(B384 = "Verde" , G384 + 'Over View'!$B$7, IF(B384 = "Rosso" , G384 + 'Over View'!$B$8, "Grado Non Inserito") )))))</f>
        <v>Grado Non Inserito</v>
      </c>
      <c r="I384" s="66" t="b">
        <v>0</v>
      </c>
      <c r="J384" s="71"/>
      <c r="K384" s="72"/>
      <c r="L384" s="69" t="str">
        <f t="shared" si="1"/>
        <v>off set</v>
      </c>
    </row>
    <row r="385" ht="22.5" customHeight="1">
      <c r="A385" s="59">
        <v>384.0</v>
      </c>
      <c r="B385" s="63"/>
      <c r="C385" s="74"/>
      <c r="D385" s="63"/>
      <c r="E385" s="63"/>
      <c r="F385" s="63"/>
      <c r="G385" s="65"/>
      <c r="H385" s="75" t="str">
        <f>IF(B385 = "Smile", G385 + 'Over View'!$B$3, IF(B385 = "Bianco" , G385 + 'Over View'!$B$4, IF(B385 = "Giallo" , G385 + 'Over View'!$B$5, IF(B385 = "Blu" , G385 + 'Over View'!$B$6, IF(B385 = "Verde" , G385 + 'Over View'!$B$7, IF(B385 = "Rosso" , G385 + 'Over View'!$B$8, "Grado Non Inserito") )))))</f>
        <v>Grado Non Inserito</v>
      </c>
      <c r="I385" s="66" t="b">
        <v>0</v>
      </c>
      <c r="J385" s="71"/>
      <c r="K385" s="72"/>
      <c r="L385" s="69" t="str">
        <f t="shared" si="1"/>
        <v>off set</v>
      </c>
    </row>
    <row r="386" ht="22.5" customHeight="1">
      <c r="A386" s="59">
        <v>385.0</v>
      </c>
      <c r="B386" s="63"/>
      <c r="C386" s="74"/>
      <c r="D386" s="63"/>
      <c r="E386" s="63"/>
      <c r="F386" s="63"/>
      <c r="G386" s="65"/>
      <c r="H386" s="75" t="str">
        <f>IF(B386 = "Smile", G386 + 'Over View'!$B$3, IF(B386 = "Bianco" , G386 + 'Over View'!$B$4, IF(B386 = "Giallo" , G386 + 'Over View'!$B$5, IF(B386 = "Blu" , G386 + 'Over View'!$B$6, IF(B386 = "Verde" , G386 + 'Over View'!$B$7, IF(B386 = "Rosso" , G386 + 'Over View'!$B$8, "Grado Non Inserito") )))))</f>
        <v>Grado Non Inserito</v>
      </c>
      <c r="I386" s="66" t="b">
        <v>0</v>
      </c>
      <c r="J386" s="71"/>
      <c r="K386" s="72"/>
      <c r="L386" s="69" t="str">
        <f t="shared" si="1"/>
        <v>off set</v>
      </c>
    </row>
    <row r="387" ht="22.5" customHeight="1">
      <c r="A387" s="59">
        <v>386.0</v>
      </c>
      <c r="B387" s="63"/>
      <c r="C387" s="74"/>
      <c r="D387" s="63"/>
      <c r="E387" s="63"/>
      <c r="F387" s="63"/>
      <c r="G387" s="65"/>
      <c r="H387" s="75" t="str">
        <f>IF(B387 = "Smile", G387 + 'Over View'!$B$3, IF(B387 = "Bianco" , G387 + 'Over View'!$B$4, IF(B387 = "Giallo" , G387 + 'Over View'!$B$5, IF(B387 = "Blu" , G387 + 'Over View'!$B$6, IF(B387 = "Verde" , G387 + 'Over View'!$B$7, IF(B387 = "Rosso" , G387 + 'Over View'!$B$8, "Grado Non Inserito") )))))</f>
        <v>Grado Non Inserito</v>
      </c>
      <c r="I387" s="66" t="b">
        <v>0</v>
      </c>
      <c r="J387" s="71"/>
      <c r="K387" s="72"/>
      <c r="L387" s="69" t="str">
        <f t="shared" si="1"/>
        <v>off set</v>
      </c>
    </row>
    <row r="388" ht="22.5" customHeight="1">
      <c r="A388" s="59">
        <v>387.0</v>
      </c>
      <c r="B388" s="63"/>
      <c r="C388" s="74"/>
      <c r="D388" s="63"/>
      <c r="E388" s="63"/>
      <c r="F388" s="63"/>
      <c r="G388" s="65"/>
      <c r="H388" s="75" t="str">
        <f>IF(B388 = "Smile", G388 + 'Over View'!$B$3, IF(B388 = "Bianco" , G388 + 'Over View'!$B$4, IF(B388 = "Giallo" , G388 + 'Over View'!$B$5, IF(B388 = "Blu" , G388 + 'Over View'!$B$6, IF(B388 = "Verde" , G388 + 'Over View'!$B$7, IF(B388 = "Rosso" , G388 + 'Over View'!$B$8, "Grado Non Inserito") )))))</f>
        <v>Grado Non Inserito</v>
      </c>
      <c r="I388" s="66" t="b">
        <v>0</v>
      </c>
      <c r="J388" s="71"/>
      <c r="K388" s="72"/>
      <c r="L388" s="69" t="str">
        <f t="shared" si="1"/>
        <v>off set</v>
      </c>
    </row>
    <row r="389" ht="22.5" customHeight="1">
      <c r="A389" s="59">
        <v>388.0</v>
      </c>
      <c r="B389" s="63"/>
      <c r="C389" s="74"/>
      <c r="D389" s="63"/>
      <c r="E389" s="63"/>
      <c r="F389" s="63"/>
      <c r="G389" s="65"/>
      <c r="H389" s="75" t="str">
        <f>IF(B389 = "Smile", G389 + 'Over View'!$B$3, IF(B389 = "Bianco" , G389 + 'Over View'!$B$4, IF(B389 = "Giallo" , G389 + 'Over View'!$B$5, IF(B389 = "Blu" , G389 + 'Over View'!$B$6, IF(B389 = "Verde" , G389 + 'Over View'!$B$7, IF(B389 = "Rosso" , G389 + 'Over View'!$B$8, "Grado Non Inserito") )))))</f>
        <v>Grado Non Inserito</v>
      </c>
      <c r="I389" s="66" t="b">
        <v>0</v>
      </c>
      <c r="J389" s="71"/>
      <c r="K389" s="72"/>
      <c r="L389" s="69" t="str">
        <f t="shared" si="1"/>
        <v>off set</v>
      </c>
    </row>
    <row r="390" ht="22.5" customHeight="1">
      <c r="A390" s="59">
        <v>389.0</v>
      </c>
      <c r="B390" s="63"/>
      <c r="C390" s="74"/>
      <c r="D390" s="63"/>
      <c r="E390" s="63"/>
      <c r="F390" s="63"/>
      <c r="G390" s="65"/>
      <c r="H390" s="75" t="str">
        <f>IF(B390 = "Smile", G390 + 'Over View'!$B$3, IF(B390 = "Bianco" , G390 + 'Over View'!$B$4, IF(B390 = "Giallo" , G390 + 'Over View'!$B$5, IF(B390 = "Blu" , G390 + 'Over View'!$B$6, IF(B390 = "Verde" , G390 + 'Over View'!$B$7, IF(B390 = "Rosso" , G390 + 'Over View'!$B$8, "Grado Non Inserito") )))))</f>
        <v>Grado Non Inserito</v>
      </c>
      <c r="I390" s="66" t="b">
        <v>0</v>
      </c>
      <c r="J390" s="71"/>
      <c r="K390" s="72"/>
      <c r="L390" s="69" t="str">
        <f t="shared" si="1"/>
        <v>off set</v>
      </c>
    </row>
    <row r="391" ht="22.5" customHeight="1">
      <c r="A391" s="59">
        <v>390.0</v>
      </c>
      <c r="B391" s="63"/>
      <c r="C391" s="74"/>
      <c r="D391" s="63"/>
      <c r="E391" s="63"/>
      <c r="F391" s="63"/>
      <c r="G391" s="65"/>
      <c r="H391" s="75" t="str">
        <f>IF(B391 = "Smile", G391 + 'Over View'!$B$3, IF(B391 = "Bianco" , G391 + 'Over View'!$B$4, IF(B391 = "Giallo" , G391 + 'Over View'!$B$5, IF(B391 = "Blu" , G391 + 'Over View'!$B$6, IF(B391 = "Verde" , G391 + 'Over View'!$B$7, IF(B391 = "Rosso" , G391 + 'Over View'!$B$8, "Grado Non Inserito") )))))</f>
        <v>Grado Non Inserito</v>
      </c>
      <c r="I391" s="66" t="b">
        <v>0</v>
      </c>
      <c r="J391" s="71"/>
      <c r="K391" s="72"/>
      <c r="L391" s="69" t="str">
        <f t="shared" si="1"/>
        <v>off set</v>
      </c>
    </row>
    <row r="392" ht="22.5" customHeight="1">
      <c r="A392" s="59">
        <v>391.0</v>
      </c>
      <c r="B392" s="63"/>
      <c r="C392" s="74"/>
      <c r="D392" s="63"/>
      <c r="E392" s="63"/>
      <c r="F392" s="63"/>
      <c r="G392" s="65"/>
      <c r="H392" s="75" t="str">
        <f>IF(B392 = "Smile", G392 + 'Over View'!$B$3, IF(B392 = "Bianco" , G392 + 'Over View'!$B$4, IF(B392 = "Giallo" , G392 + 'Over View'!$B$5, IF(B392 = "Blu" , G392 + 'Over View'!$B$6, IF(B392 = "Verde" , G392 + 'Over View'!$B$7, IF(B392 = "Rosso" , G392 + 'Over View'!$B$8, "Grado Non Inserito") )))))</f>
        <v>Grado Non Inserito</v>
      </c>
      <c r="I392" s="66" t="b">
        <v>0</v>
      </c>
      <c r="J392" s="71"/>
      <c r="K392" s="72"/>
      <c r="L392" s="69" t="str">
        <f t="shared" si="1"/>
        <v>off set</v>
      </c>
    </row>
    <row r="393" ht="22.5" customHeight="1">
      <c r="A393" s="59">
        <v>392.0</v>
      </c>
      <c r="B393" s="63"/>
      <c r="C393" s="74"/>
      <c r="D393" s="63"/>
      <c r="E393" s="63"/>
      <c r="F393" s="63"/>
      <c r="G393" s="65"/>
      <c r="H393" s="75" t="str">
        <f>IF(B393 = "Smile", G393 + 'Over View'!$B$3, IF(B393 = "Bianco" , G393 + 'Over View'!$B$4, IF(B393 = "Giallo" , G393 + 'Over View'!$B$5, IF(B393 = "Blu" , G393 + 'Over View'!$B$6, IF(B393 = "Verde" , G393 + 'Over View'!$B$7, IF(B393 = "Rosso" , G393 + 'Over View'!$B$8, "Grado Non Inserito") )))))</f>
        <v>Grado Non Inserito</v>
      </c>
      <c r="I393" s="66" t="b">
        <v>0</v>
      </c>
      <c r="J393" s="71"/>
      <c r="K393" s="72"/>
      <c r="L393" s="69" t="str">
        <f t="shared" si="1"/>
        <v>off set</v>
      </c>
    </row>
    <row r="394" ht="22.5" customHeight="1">
      <c r="A394" s="59">
        <v>393.0</v>
      </c>
      <c r="B394" s="63"/>
      <c r="C394" s="74"/>
      <c r="D394" s="63"/>
      <c r="E394" s="63"/>
      <c r="F394" s="63"/>
      <c r="G394" s="65"/>
      <c r="H394" s="75" t="str">
        <f>IF(B394 = "Smile", G394 + 'Over View'!$B$3, IF(B394 = "Bianco" , G394 + 'Over View'!$B$4, IF(B394 = "Giallo" , G394 + 'Over View'!$B$5, IF(B394 = "Blu" , G394 + 'Over View'!$B$6, IF(B394 = "Verde" , G394 + 'Over View'!$B$7, IF(B394 = "Rosso" , G394 + 'Over View'!$B$8, "Grado Non Inserito") )))))</f>
        <v>Grado Non Inserito</v>
      </c>
      <c r="I394" s="66" t="b">
        <v>0</v>
      </c>
      <c r="J394" s="71"/>
      <c r="K394" s="72"/>
      <c r="L394" s="69" t="str">
        <f t="shared" si="1"/>
        <v>off set</v>
      </c>
    </row>
    <row r="395" ht="22.5" customHeight="1">
      <c r="A395" s="59">
        <v>394.0</v>
      </c>
      <c r="B395" s="63"/>
      <c r="C395" s="74"/>
      <c r="D395" s="63"/>
      <c r="E395" s="63"/>
      <c r="F395" s="63"/>
      <c r="G395" s="65"/>
      <c r="H395" s="75" t="str">
        <f>IF(B395 = "Smile", G395 + 'Over View'!$B$3, IF(B395 = "Bianco" , G395 + 'Over View'!$B$4, IF(B395 = "Giallo" , G395 + 'Over View'!$B$5, IF(B395 = "Blu" , G395 + 'Over View'!$B$6, IF(B395 = "Verde" , G395 + 'Over View'!$B$7, IF(B395 = "Rosso" , G395 + 'Over View'!$B$8, "Grado Non Inserito") )))))</f>
        <v>Grado Non Inserito</v>
      </c>
      <c r="I395" s="66" t="b">
        <v>0</v>
      </c>
      <c r="J395" s="71"/>
      <c r="K395" s="72"/>
      <c r="L395" s="69" t="str">
        <f t="shared" si="1"/>
        <v>off set</v>
      </c>
    </row>
    <row r="396" ht="22.5" customHeight="1">
      <c r="A396" s="59">
        <v>395.0</v>
      </c>
      <c r="B396" s="63"/>
      <c r="C396" s="74"/>
      <c r="D396" s="63"/>
      <c r="E396" s="63"/>
      <c r="F396" s="63"/>
      <c r="G396" s="65"/>
      <c r="H396" s="75" t="str">
        <f>IF(B396 = "Smile", G396 + 'Over View'!$B$3, IF(B396 = "Bianco" , G396 + 'Over View'!$B$4, IF(B396 = "Giallo" , G396 + 'Over View'!$B$5, IF(B396 = "Blu" , G396 + 'Over View'!$B$6, IF(B396 = "Verde" , G396 + 'Over View'!$B$7, IF(B396 = "Rosso" , G396 + 'Over View'!$B$8, "Grado Non Inserito") )))))</f>
        <v>Grado Non Inserito</v>
      </c>
      <c r="I396" s="66" t="b">
        <v>0</v>
      </c>
      <c r="J396" s="71"/>
      <c r="K396" s="72"/>
      <c r="L396" s="69" t="str">
        <f t="shared" si="1"/>
        <v>off set</v>
      </c>
    </row>
    <row r="397" ht="22.5" customHeight="1">
      <c r="A397" s="59">
        <v>396.0</v>
      </c>
      <c r="B397" s="63"/>
      <c r="C397" s="74"/>
      <c r="D397" s="63"/>
      <c r="E397" s="63"/>
      <c r="F397" s="63"/>
      <c r="G397" s="65"/>
      <c r="H397" s="75" t="str">
        <f>IF(B397 = "Smile", G397 + 'Over View'!$B$3, IF(B397 = "Bianco" , G397 + 'Over View'!$B$4, IF(B397 = "Giallo" , G397 + 'Over View'!$B$5, IF(B397 = "Blu" , G397 + 'Over View'!$B$6, IF(B397 = "Verde" , G397 + 'Over View'!$B$7, IF(B397 = "Rosso" , G397 + 'Over View'!$B$8, "Grado Non Inserito") )))))</f>
        <v>Grado Non Inserito</v>
      </c>
      <c r="I397" s="66" t="b">
        <v>0</v>
      </c>
      <c r="J397" s="71"/>
      <c r="K397" s="72"/>
      <c r="L397" s="69" t="str">
        <f t="shared" si="1"/>
        <v>off set</v>
      </c>
    </row>
    <row r="398" ht="22.5" customHeight="1">
      <c r="A398" s="59">
        <v>397.0</v>
      </c>
      <c r="B398" s="63"/>
      <c r="C398" s="74"/>
      <c r="D398" s="63"/>
      <c r="E398" s="63"/>
      <c r="F398" s="63"/>
      <c r="G398" s="65"/>
      <c r="H398" s="75" t="str">
        <f>IF(B398 = "Smile", G398 + 'Over View'!$B$3, IF(B398 = "Bianco" , G398 + 'Over View'!$B$4, IF(B398 = "Giallo" , G398 + 'Over View'!$B$5, IF(B398 = "Blu" , G398 + 'Over View'!$B$6, IF(B398 = "Verde" , G398 + 'Over View'!$B$7, IF(B398 = "Rosso" , G398 + 'Over View'!$B$8, "Grado Non Inserito") )))))</f>
        <v>Grado Non Inserito</v>
      </c>
      <c r="I398" s="66" t="b">
        <v>0</v>
      </c>
      <c r="J398" s="71"/>
      <c r="K398" s="72"/>
      <c r="L398" s="69" t="str">
        <f t="shared" si="1"/>
        <v>off set</v>
      </c>
    </row>
    <row r="399" ht="22.5" customHeight="1">
      <c r="A399" s="59">
        <v>398.0</v>
      </c>
      <c r="B399" s="63"/>
      <c r="C399" s="74"/>
      <c r="D399" s="63"/>
      <c r="E399" s="63"/>
      <c r="F399" s="63"/>
      <c r="G399" s="65"/>
      <c r="H399" s="75" t="str">
        <f>IF(B399 = "Smile", G399 + 'Over View'!$B$3, IF(B399 = "Bianco" , G399 + 'Over View'!$B$4, IF(B399 = "Giallo" , G399 + 'Over View'!$B$5, IF(B399 = "Blu" , G399 + 'Over View'!$B$6, IF(B399 = "Verde" , G399 + 'Over View'!$B$7, IF(B399 = "Rosso" , G399 + 'Over View'!$B$8, "Grado Non Inserito") )))))</f>
        <v>Grado Non Inserito</v>
      </c>
      <c r="I399" s="66" t="b">
        <v>0</v>
      </c>
      <c r="J399" s="71"/>
      <c r="K399" s="72"/>
      <c r="L399" s="69" t="str">
        <f t="shared" si="1"/>
        <v>off set</v>
      </c>
    </row>
    <row r="400" ht="22.5" customHeight="1">
      <c r="A400" s="59">
        <v>399.0</v>
      </c>
      <c r="B400" s="63"/>
      <c r="C400" s="74"/>
      <c r="D400" s="63"/>
      <c r="E400" s="63"/>
      <c r="F400" s="63"/>
      <c r="G400" s="65"/>
      <c r="H400" s="75" t="str">
        <f>IF(B400 = "Smile", G400 + 'Over View'!$B$3, IF(B400 = "Bianco" , G400 + 'Over View'!$B$4, IF(B400 = "Giallo" , G400 + 'Over View'!$B$5, IF(B400 = "Blu" , G400 + 'Over View'!$B$6, IF(B400 = "Verde" , G400 + 'Over View'!$B$7, IF(B400 = "Rosso" , G400 + 'Over View'!$B$8, "Grado Non Inserito") )))))</f>
        <v>Grado Non Inserito</v>
      </c>
      <c r="I400" s="66" t="b">
        <v>0</v>
      </c>
      <c r="J400" s="71"/>
      <c r="K400" s="72"/>
      <c r="L400" s="69" t="str">
        <f t="shared" si="1"/>
        <v>off set</v>
      </c>
    </row>
    <row r="401" ht="22.5" customHeight="1">
      <c r="A401" s="59">
        <v>400.0</v>
      </c>
      <c r="B401" s="63"/>
      <c r="C401" s="74"/>
      <c r="D401" s="63"/>
      <c r="E401" s="63"/>
      <c r="F401" s="63"/>
      <c r="G401" s="65"/>
      <c r="H401" s="75" t="str">
        <f>IF(B401 = "Smile", G401 + 'Over View'!$B$3, IF(B401 = "Bianco" , G401 + 'Over View'!$B$4, IF(B401 = "Giallo" , G401 + 'Over View'!$B$5, IF(B401 = "Blu" , G401 + 'Over View'!$B$6, IF(B401 = "Verde" , G401 + 'Over View'!$B$7, IF(B401 = "Rosso" , G401 + 'Over View'!$B$8, "Grado Non Inserito") )))))</f>
        <v>Grado Non Inserito</v>
      </c>
      <c r="I401" s="66" t="b">
        <v>0</v>
      </c>
      <c r="J401" s="71"/>
      <c r="K401" s="72"/>
      <c r="L401" s="69" t="str">
        <f t="shared" si="1"/>
        <v>off set</v>
      </c>
    </row>
    <row r="402" ht="22.5" customHeight="1">
      <c r="A402" s="59">
        <v>401.0</v>
      </c>
      <c r="B402" s="63"/>
      <c r="C402" s="74"/>
      <c r="D402" s="63"/>
      <c r="E402" s="63"/>
      <c r="F402" s="63"/>
      <c r="G402" s="65"/>
      <c r="H402" s="75" t="str">
        <f>IF(B402 = "Smile", G402 + 'Over View'!$B$3, IF(B402 = "Bianco" , G402 + 'Over View'!$B$4, IF(B402 = "Giallo" , G402 + 'Over View'!$B$5, IF(B402 = "Blu" , G402 + 'Over View'!$B$6, IF(B402 = "Verde" , G402 + 'Over View'!$B$7, IF(B402 = "Rosso" , G402 + 'Over View'!$B$8, "Grado Non Inserito") )))))</f>
        <v>Grado Non Inserito</v>
      </c>
      <c r="I402" s="66" t="b">
        <v>0</v>
      </c>
      <c r="J402" s="71"/>
      <c r="K402" s="72"/>
      <c r="L402" s="69" t="str">
        <f t="shared" si="1"/>
        <v>off set</v>
      </c>
    </row>
    <row r="403" ht="22.5" customHeight="1">
      <c r="A403" s="59">
        <v>402.0</v>
      </c>
      <c r="B403" s="63"/>
      <c r="C403" s="74"/>
      <c r="D403" s="63"/>
      <c r="E403" s="63"/>
      <c r="F403" s="63"/>
      <c r="G403" s="65"/>
      <c r="H403" s="75" t="str">
        <f>IF(B403 = "Smile", G403 + 'Over View'!$B$3, IF(B403 = "Bianco" , G403 + 'Over View'!$B$4, IF(B403 = "Giallo" , G403 + 'Over View'!$B$5, IF(B403 = "Blu" , G403 + 'Over View'!$B$6, IF(B403 = "Verde" , G403 + 'Over View'!$B$7, IF(B403 = "Rosso" , G403 + 'Over View'!$B$8, "Grado Non Inserito") )))))</f>
        <v>Grado Non Inserito</v>
      </c>
      <c r="I403" s="66" t="b">
        <v>0</v>
      </c>
      <c r="J403" s="71"/>
      <c r="K403" s="72"/>
      <c r="L403" s="69" t="str">
        <f t="shared" si="1"/>
        <v>off set</v>
      </c>
    </row>
    <row r="404" ht="22.5" customHeight="1">
      <c r="A404" s="59">
        <v>403.0</v>
      </c>
      <c r="B404" s="63"/>
      <c r="C404" s="74"/>
      <c r="D404" s="63"/>
      <c r="E404" s="63"/>
      <c r="F404" s="63"/>
      <c r="G404" s="65"/>
      <c r="H404" s="75" t="str">
        <f>IF(B404 = "Smile", G404 + 'Over View'!$B$3, IF(B404 = "Bianco" , G404 + 'Over View'!$B$4, IF(B404 = "Giallo" , G404 + 'Over View'!$B$5, IF(B404 = "Blu" , G404 + 'Over View'!$B$6, IF(B404 = "Verde" , G404 + 'Over View'!$B$7, IF(B404 = "Rosso" , G404 + 'Over View'!$B$8, "Grado Non Inserito") )))))</f>
        <v>Grado Non Inserito</v>
      </c>
      <c r="I404" s="66" t="b">
        <v>0</v>
      </c>
      <c r="J404" s="71"/>
      <c r="K404" s="72"/>
      <c r="L404" s="69" t="str">
        <f t="shared" si="1"/>
        <v>off set</v>
      </c>
    </row>
    <row r="405" ht="22.5" customHeight="1">
      <c r="A405" s="59">
        <v>404.0</v>
      </c>
      <c r="B405" s="63"/>
      <c r="C405" s="74"/>
      <c r="D405" s="63"/>
      <c r="E405" s="63"/>
      <c r="F405" s="63"/>
      <c r="G405" s="65"/>
      <c r="H405" s="75" t="str">
        <f>IF(B405 = "Smile", G405 + 'Over View'!$B$3, IF(B405 = "Bianco" , G405 + 'Over View'!$B$4, IF(B405 = "Giallo" , G405 + 'Over View'!$B$5, IF(B405 = "Blu" , G405 + 'Over View'!$B$6, IF(B405 = "Verde" , G405 + 'Over View'!$B$7, IF(B405 = "Rosso" , G405 + 'Over View'!$B$8, "Grado Non Inserito") )))))</f>
        <v>Grado Non Inserito</v>
      </c>
      <c r="I405" s="66" t="b">
        <v>0</v>
      </c>
      <c r="J405" s="71"/>
      <c r="K405" s="72"/>
      <c r="L405" s="69" t="str">
        <f t="shared" si="1"/>
        <v>off set</v>
      </c>
    </row>
    <row r="406" ht="22.5" customHeight="1">
      <c r="A406" s="59">
        <v>405.0</v>
      </c>
      <c r="B406" s="63"/>
      <c r="C406" s="74"/>
      <c r="D406" s="63"/>
      <c r="E406" s="63"/>
      <c r="F406" s="63"/>
      <c r="G406" s="65"/>
      <c r="H406" s="75" t="str">
        <f>IF(B406 = "Smile", G406 + 'Over View'!$B$3, IF(B406 = "Bianco" , G406 + 'Over View'!$B$4, IF(B406 = "Giallo" , G406 + 'Over View'!$B$5, IF(B406 = "Blu" , G406 + 'Over View'!$B$6, IF(B406 = "Verde" , G406 + 'Over View'!$B$7, IF(B406 = "Rosso" , G406 + 'Over View'!$B$8, "Grado Non Inserito") )))))</f>
        <v>Grado Non Inserito</v>
      </c>
      <c r="I406" s="66" t="b">
        <v>0</v>
      </c>
      <c r="J406" s="71"/>
      <c r="K406" s="72"/>
      <c r="L406" s="69" t="str">
        <f t="shared" si="1"/>
        <v>off set</v>
      </c>
    </row>
    <row r="407" ht="22.5" customHeight="1">
      <c r="A407" s="59">
        <v>406.0</v>
      </c>
      <c r="B407" s="63"/>
      <c r="C407" s="74"/>
      <c r="D407" s="63"/>
      <c r="E407" s="63"/>
      <c r="F407" s="63"/>
      <c r="G407" s="65"/>
      <c r="H407" s="75" t="str">
        <f>IF(B407 = "Smile", G407 + 'Over View'!$B$3, IF(B407 = "Bianco" , G407 + 'Over View'!$B$4, IF(B407 = "Giallo" , G407 + 'Over View'!$B$5, IF(B407 = "Blu" , G407 + 'Over View'!$B$6, IF(B407 = "Verde" , G407 + 'Over View'!$B$7, IF(B407 = "Rosso" , G407 + 'Over View'!$B$8, "Grado Non Inserito") )))))</f>
        <v>Grado Non Inserito</v>
      </c>
      <c r="I407" s="66" t="b">
        <v>0</v>
      </c>
      <c r="J407" s="71"/>
      <c r="K407" s="72"/>
      <c r="L407" s="69" t="str">
        <f t="shared" si="1"/>
        <v>off set</v>
      </c>
    </row>
    <row r="408" ht="22.5" customHeight="1">
      <c r="A408" s="59">
        <v>407.0</v>
      </c>
      <c r="B408" s="63"/>
      <c r="C408" s="74"/>
      <c r="D408" s="63"/>
      <c r="E408" s="63"/>
      <c r="F408" s="63"/>
      <c r="G408" s="65"/>
      <c r="H408" s="75" t="str">
        <f>IF(B408 = "Smile", G408 + 'Over View'!$B$3, IF(B408 = "Bianco" , G408 + 'Over View'!$B$4, IF(B408 = "Giallo" , G408 + 'Over View'!$B$5, IF(B408 = "Blu" , G408 + 'Over View'!$B$6, IF(B408 = "Verde" , G408 + 'Over View'!$B$7, IF(B408 = "Rosso" , G408 + 'Over View'!$B$8, "Grado Non Inserito") )))))</f>
        <v>Grado Non Inserito</v>
      </c>
      <c r="I408" s="66" t="b">
        <v>0</v>
      </c>
      <c r="J408" s="71"/>
      <c r="K408" s="72"/>
      <c r="L408" s="69" t="str">
        <f t="shared" si="1"/>
        <v>off set</v>
      </c>
    </row>
    <row r="409" ht="22.5" customHeight="1">
      <c r="A409" s="59">
        <v>408.0</v>
      </c>
      <c r="B409" s="63"/>
      <c r="C409" s="74"/>
      <c r="D409" s="63"/>
      <c r="E409" s="63"/>
      <c r="F409" s="63"/>
      <c r="G409" s="65"/>
      <c r="H409" s="75" t="str">
        <f>IF(B409 = "Smile", G409 + 'Over View'!$B$3, IF(B409 = "Bianco" , G409 + 'Over View'!$B$4, IF(B409 = "Giallo" , G409 + 'Over View'!$B$5, IF(B409 = "Blu" , G409 + 'Over View'!$B$6, IF(B409 = "Verde" , G409 + 'Over View'!$B$7, IF(B409 = "Rosso" , G409 + 'Over View'!$B$8, "Grado Non Inserito") )))))</f>
        <v>Grado Non Inserito</v>
      </c>
      <c r="I409" s="66" t="b">
        <v>0</v>
      </c>
      <c r="J409" s="71"/>
      <c r="K409" s="72"/>
      <c r="L409" s="69" t="str">
        <f t="shared" si="1"/>
        <v>off set</v>
      </c>
    </row>
    <row r="410" ht="22.5" customHeight="1">
      <c r="A410" s="59">
        <v>409.0</v>
      </c>
      <c r="B410" s="63"/>
      <c r="C410" s="74"/>
      <c r="D410" s="63"/>
      <c r="E410" s="63"/>
      <c r="F410" s="63"/>
      <c r="G410" s="65"/>
      <c r="H410" s="75" t="str">
        <f>IF(B410 = "Smile", G410 + 'Over View'!$B$3, IF(B410 = "Bianco" , G410 + 'Over View'!$B$4, IF(B410 = "Giallo" , G410 + 'Over View'!$B$5, IF(B410 = "Blu" , G410 + 'Over View'!$B$6, IF(B410 = "Verde" , G410 + 'Over View'!$B$7, IF(B410 = "Rosso" , G410 + 'Over View'!$B$8, "Grado Non Inserito") )))))</f>
        <v>Grado Non Inserito</v>
      </c>
      <c r="I410" s="66" t="b">
        <v>0</v>
      </c>
      <c r="J410" s="71"/>
      <c r="K410" s="72"/>
      <c r="L410" s="69" t="str">
        <f t="shared" si="1"/>
        <v>off set</v>
      </c>
    </row>
    <row r="411" ht="22.5" customHeight="1">
      <c r="A411" s="59">
        <v>410.0</v>
      </c>
      <c r="B411" s="63"/>
      <c r="C411" s="74"/>
      <c r="D411" s="63"/>
      <c r="E411" s="63"/>
      <c r="F411" s="63"/>
      <c r="G411" s="65"/>
      <c r="H411" s="75" t="str">
        <f>IF(B411 = "Smile", G411 + 'Over View'!$B$3, IF(B411 = "Bianco" , G411 + 'Over View'!$B$4, IF(B411 = "Giallo" , G411 + 'Over View'!$B$5, IF(B411 = "Blu" , G411 + 'Over View'!$B$6, IF(B411 = "Verde" , G411 + 'Over View'!$B$7, IF(B411 = "Rosso" , G411 + 'Over View'!$B$8, "Grado Non Inserito") )))))</f>
        <v>Grado Non Inserito</v>
      </c>
      <c r="I411" s="66" t="b">
        <v>0</v>
      </c>
      <c r="J411" s="71"/>
      <c r="K411" s="72"/>
      <c r="L411" s="69" t="str">
        <f t="shared" si="1"/>
        <v>off set</v>
      </c>
    </row>
    <row r="412" ht="22.5" customHeight="1">
      <c r="A412" s="59">
        <v>411.0</v>
      </c>
      <c r="B412" s="63"/>
      <c r="C412" s="74"/>
      <c r="D412" s="63"/>
      <c r="E412" s="63"/>
      <c r="F412" s="63"/>
      <c r="G412" s="65"/>
      <c r="H412" s="75" t="str">
        <f>IF(B412 = "Smile", G412 + 'Over View'!$B$3, IF(B412 = "Bianco" , G412 + 'Over View'!$B$4, IF(B412 = "Giallo" , G412 + 'Over View'!$B$5, IF(B412 = "Blu" , G412 + 'Over View'!$B$6, IF(B412 = "Verde" , G412 + 'Over View'!$B$7, IF(B412 = "Rosso" , G412 + 'Over View'!$B$8, "Grado Non Inserito") )))))</f>
        <v>Grado Non Inserito</v>
      </c>
      <c r="I412" s="66" t="b">
        <v>0</v>
      </c>
      <c r="J412" s="71"/>
      <c r="K412" s="72"/>
      <c r="L412" s="69" t="str">
        <f t="shared" si="1"/>
        <v>off set</v>
      </c>
    </row>
    <row r="413" ht="22.5" customHeight="1">
      <c r="A413" s="59">
        <v>412.0</v>
      </c>
      <c r="B413" s="63"/>
      <c r="C413" s="74"/>
      <c r="D413" s="63"/>
      <c r="E413" s="63"/>
      <c r="F413" s="63"/>
      <c r="G413" s="65"/>
      <c r="H413" s="75" t="str">
        <f>IF(B413 = "Smile", G413 + 'Over View'!$B$3, IF(B413 = "Bianco" , G413 + 'Over View'!$B$4, IF(B413 = "Giallo" , G413 + 'Over View'!$B$5, IF(B413 = "Blu" , G413 + 'Over View'!$B$6, IF(B413 = "Verde" , G413 + 'Over View'!$B$7, IF(B413 = "Rosso" , G413 + 'Over View'!$B$8, "Grado Non Inserito") )))))</f>
        <v>Grado Non Inserito</v>
      </c>
      <c r="I413" s="66" t="b">
        <v>0</v>
      </c>
      <c r="J413" s="71"/>
      <c r="K413" s="72"/>
      <c r="L413" s="69" t="str">
        <f t="shared" si="1"/>
        <v>off set</v>
      </c>
    </row>
    <row r="414" ht="22.5" customHeight="1">
      <c r="A414" s="59">
        <v>413.0</v>
      </c>
      <c r="B414" s="63"/>
      <c r="C414" s="74"/>
      <c r="D414" s="63"/>
      <c r="E414" s="63"/>
      <c r="F414" s="63"/>
      <c r="G414" s="65"/>
      <c r="H414" s="75" t="str">
        <f>IF(B414 = "Smile", G414 + 'Over View'!$B$3, IF(B414 = "Bianco" , G414 + 'Over View'!$B$4, IF(B414 = "Giallo" , G414 + 'Over View'!$B$5, IF(B414 = "Blu" , G414 + 'Over View'!$B$6, IF(B414 = "Verde" , G414 + 'Over View'!$B$7, IF(B414 = "Rosso" , G414 + 'Over View'!$B$8, "Grado Non Inserito") )))))</f>
        <v>Grado Non Inserito</v>
      </c>
      <c r="I414" s="66" t="b">
        <v>0</v>
      </c>
      <c r="J414" s="71"/>
      <c r="K414" s="72"/>
      <c r="L414" s="69" t="str">
        <f t="shared" si="1"/>
        <v>off set</v>
      </c>
    </row>
    <row r="415" ht="22.5" customHeight="1">
      <c r="A415" s="59">
        <v>414.0</v>
      </c>
      <c r="B415" s="63"/>
      <c r="C415" s="74"/>
      <c r="D415" s="63"/>
      <c r="E415" s="63"/>
      <c r="F415" s="63"/>
      <c r="G415" s="65"/>
      <c r="H415" s="75" t="str">
        <f>IF(B415 = "Smile", G415 + 'Over View'!$B$3, IF(B415 = "Bianco" , G415 + 'Over View'!$B$4, IF(B415 = "Giallo" , G415 + 'Over View'!$B$5, IF(B415 = "Blu" , G415 + 'Over View'!$B$6, IF(B415 = "Verde" , G415 + 'Over View'!$B$7, IF(B415 = "Rosso" , G415 + 'Over View'!$B$8, "Grado Non Inserito") )))))</f>
        <v>Grado Non Inserito</v>
      </c>
      <c r="I415" s="66" t="b">
        <v>0</v>
      </c>
      <c r="J415" s="71"/>
      <c r="K415" s="72"/>
      <c r="L415" s="69" t="str">
        <f t="shared" si="1"/>
        <v>off set</v>
      </c>
    </row>
    <row r="416" ht="22.5" customHeight="1">
      <c r="A416" s="59">
        <v>415.0</v>
      </c>
      <c r="B416" s="63"/>
      <c r="C416" s="74"/>
      <c r="D416" s="63"/>
      <c r="E416" s="63"/>
      <c r="F416" s="63"/>
      <c r="G416" s="65"/>
      <c r="H416" s="75" t="str">
        <f>IF(B416 = "Smile", G416 + 'Over View'!$B$3, IF(B416 = "Bianco" , G416 + 'Over View'!$B$4, IF(B416 = "Giallo" , G416 + 'Over View'!$B$5, IF(B416 = "Blu" , G416 + 'Over View'!$B$6, IF(B416 = "Verde" , G416 + 'Over View'!$B$7, IF(B416 = "Rosso" , G416 + 'Over View'!$B$8, "Grado Non Inserito") )))))</f>
        <v>Grado Non Inserito</v>
      </c>
      <c r="I416" s="66" t="b">
        <v>0</v>
      </c>
      <c r="J416" s="71"/>
      <c r="K416" s="72"/>
      <c r="L416" s="69" t="str">
        <f t="shared" si="1"/>
        <v>off set</v>
      </c>
    </row>
    <row r="417" ht="22.5" customHeight="1">
      <c r="A417" s="59">
        <v>416.0</v>
      </c>
      <c r="B417" s="63"/>
      <c r="C417" s="74"/>
      <c r="D417" s="63"/>
      <c r="E417" s="63"/>
      <c r="F417" s="63"/>
      <c r="G417" s="65"/>
      <c r="H417" s="75" t="str">
        <f>IF(B417 = "Smile", G417 + 'Over View'!$B$3, IF(B417 = "Bianco" , G417 + 'Over View'!$B$4, IF(B417 = "Giallo" , G417 + 'Over View'!$B$5, IF(B417 = "Blu" , G417 + 'Over View'!$B$6, IF(B417 = "Verde" , G417 + 'Over View'!$B$7, IF(B417 = "Rosso" , G417 + 'Over View'!$B$8, "Grado Non Inserito") )))))</f>
        <v>Grado Non Inserito</v>
      </c>
      <c r="I417" s="66" t="b">
        <v>0</v>
      </c>
      <c r="J417" s="71"/>
      <c r="K417" s="72"/>
      <c r="L417" s="69" t="str">
        <f t="shared" si="1"/>
        <v>off set</v>
      </c>
    </row>
    <row r="418" ht="22.5" customHeight="1">
      <c r="A418" s="59">
        <v>417.0</v>
      </c>
      <c r="B418" s="63"/>
      <c r="C418" s="74"/>
      <c r="D418" s="63"/>
      <c r="E418" s="63"/>
      <c r="F418" s="63"/>
      <c r="G418" s="65"/>
      <c r="H418" s="75" t="str">
        <f>IF(B418 = "Smile", G418 + 'Over View'!$B$3, IF(B418 = "Bianco" , G418 + 'Over View'!$B$4, IF(B418 = "Giallo" , G418 + 'Over View'!$B$5, IF(B418 = "Blu" , G418 + 'Over View'!$B$6, IF(B418 = "Verde" , G418 + 'Over View'!$B$7, IF(B418 = "Rosso" , G418 + 'Over View'!$B$8, "Grado Non Inserito") )))))</f>
        <v>Grado Non Inserito</v>
      </c>
      <c r="I418" s="66" t="b">
        <v>0</v>
      </c>
      <c r="J418" s="71"/>
      <c r="K418" s="72"/>
      <c r="L418" s="69" t="str">
        <f t="shared" si="1"/>
        <v>off set</v>
      </c>
    </row>
    <row r="419" ht="22.5" customHeight="1">
      <c r="A419" s="59">
        <v>418.0</v>
      </c>
      <c r="B419" s="63"/>
      <c r="C419" s="74"/>
      <c r="D419" s="63"/>
      <c r="E419" s="63"/>
      <c r="F419" s="63"/>
      <c r="G419" s="65"/>
      <c r="H419" s="75" t="str">
        <f>IF(B419 = "Smile", G419 + 'Over View'!$B$3, IF(B419 = "Bianco" , G419 + 'Over View'!$B$4, IF(B419 = "Giallo" , G419 + 'Over View'!$B$5, IF(B419 = "Blu" , G419 + 'Over View'!$B$6, IF(B419 = "Verde" , G419 + 'Over View'!$B$7, IF(B419 = "Rosso" , G419 + 'Over View'!$B$8, "Grado Non Inserito") )))))</f>
        <v>Grado Non Inserito</v>
      </c>
      <c r="I419" s="66" t="b">
        <v>0</v>
      </c>
      <c r="J419" s="71"/>
      <c r="K419" s="72"/>
      <c r="L419" s="69" t="str">
        <f t="shared" si="1"/>
        <v>off set</v>
      </c>
    </row>
    <row r="420" ht="22.5" customHeight="1">
      <c r="A420" s="59">
        <v>419.0</v>
      </c>
      <c r="B420" s="63"/>
      <c r="C420" s="74"/>
      <c r="D420" s="63"/>
      <c r="E420" s="63"/>
      <c r="F420" s="63"/>
      <c r="G420" s="65"/>
      <c r="H420" s="75" t="str">
        <f>IF(B420 = "Smile", G420 + 'Over View'!$B$3, IF(B420 = "Bianco" , G420 + 'Over View'!$B$4, IF(B420 = "Giallo" , G420 + 'Over View'!$B$5, IF(B420 = "Blu" , G420 + 'Over View'!$B$6, IF(B420 = "Verde" , G420 + 'Over View'!$B$7, IF(B420 = "Rosso" , G420 + 'Over View'!$B$8, "Grado Non Inserito") )))))</f>
        <v>Grado Non Inserito</v>
      </c>
      <c r="I420" s="66" t="b">
        <v>0</v>
      </c>
      <c r="J420" s="71"/>
      <c r="K420" s="72"/>
      <c r="L420" s="69" t="str">
        <f t="shared" si="1"/>
        <v>off set</v>
      </c>
    </row>
    <row r="421" ht="22.5" customHeight="1">
      <c r="A421" s="59">
        <v>420.0</v>
      </c>
      <c r="B421" s="63"/>
      <c r="C421" s="74"/>
      <c r="D421" s="63"/>
      <c r="E421" s="63"/>
      <c r="F421" s="63"/>
      <c r="G421" s="65"/>
      <c r="H421" s="75" t="str">
        <f>IF(B421 = "Smile", G421 + 'Over View'!$B$3, IF(B421 = "Bianco" , G421 + 'Over View'!$B$4, IF(B421 = "Giallo" , G421 + 'Over View'!$B$5, IF(B421 = "Blu" , G421 + 'Over View'!$B$6, IF(B421 = "Verde" , G421 + 'Over View'!$B$7, IF(B421 = "Rosso" , G421 + 'Over View'!$B$8, "Grado Non Inserito") )))))</f>
        <v>Grado Non Inserito</v>
      </c>
      <c r="I421" s="66" t="b">
        <v>0</v>
      </c>
      <c r="J421" s="71"/>
      <c r="K421" s="72"/>
      <c r="L421" s="69" t="str">
        <f t="shared" si="1"/>
        <v>off set</v>
      </c>
    </row>
    <row r="422" ht="22.5" customHeight="1">
      <c r="A422" s="59">
        <v>421.0</v>
      </c>
      <c r="B422" s="63"/>
      <c r="C422" s="74"/>
      <c r="D422" s="63"/>
      <c r="E422" s="63"/>
      <c r="F422" s="63"/>
      <c r="G422" s="65"/>
      <c r="H422" s="75" t="str">
        <f>IF(B422 = "Smile", G422 + 'Over View'!$B$3, IF(B422 = "Bianco" , G422 + 'Over View'!$B$4, IF(B422 = "Giallo" , G422 + 'Over View'!$B$5, IF(B422 = "Blu" , G422 + 'Over View'!$B$6, IF(B422 = "Verde" , G422 + 'Over View'!$B$7, IF(B422 = "Rosso" , G422 + 'Over View'!$B$8, "Grado Non Inserito") )))))</f>
        <v>Grado Non Inserito</v>
      </c>
      <c r="I422" s="66" t="b">
        <v>0</v>
      </c>
      <c r="J422" s="71"/>
      <c r="K422" s="72"/>
      <c r="L422" s="69" t="str">
        <f t="shared" si="1"/>
        <v>off set</v>
      </c>
    </row>
    <row r="423" ht="22.5" customHeight="1">
      <c r="A423" s="59">
        <v>422.0</v>
      </c>
      <c r="B423" s="63"/>
      <c r="C423" s="74"/>
      <c r="D423" s="63"/>
      <c r="E423" s="63"/>
      <c r="F423" s="63"/>
      <c r="G423" s="65"/>
      <c r="H423" s="75" t="str">
        <f>IF(B423 = "Smile", G423 + 'Over View'!$B$3, IF(B423 = "Bianco" , G423 + 'Over View'!$B$4, IF(B423 = "Giallo" , G423 + 'Over View'!$B$5, IF(B423 = "Blu" , G423 + 'Over View'!$B$6, IF(B423 = "Verde" , G423 + 'Over View'!$B$7, IF(B423 = "Rosso" , G423 + 'Over View'!$B$8, "Grado Non Inserito") )))))</f>
        <v>Grado Non Inserito</v>
      </c>
      <c r="I423" s="66" t="b">
        <v>0</v>
      </c>
      <c r="J423" s="71"/>
      <c r="K423" s="72"/>
      <c r="L423" s="69" t="str">
        <f t="shared" si="1"/>
        <v>off set</v>
      </c>
    </row>
    <row r="424" ht="22.5" customHeight="1">
      <c r="A424" s="59">
        <v>423.0</v>
      </c>
      <c r="B424" s="63"/>
      <c r="C424" s="74"/>
      <c r="D424" s="63"/>
      <c r="E424" s="63"/>
      <c r="F424" s="63"/>
      <c r="G424" s="65"/>
      <c r="H424" s="75" t="str">
        <f>IF(B424 = "Smile", G424 + 'Over View'!$B$3, IF(B424 = "Bianco" , G424 + 'Over View'!$B$4, IF(B424 = "Giallo" , G424 + 'Over View'!$B$5, IF(B424 = "Blu" , G424 + 'Over View'!$B$6, IF(B424 = "Verde" , G424 + 'Over View'!$B$7, IF(B424 = "Rosso" , G424 + 'Over View'!$B$8, "Grado Non Inserito") )))))</f>
        <v>Grado Non Inserito</v>
      </c>
      <c r="I424" s="66" t="b">
        <v>0</v>
      </c>
      <c r="J424" s="71"/>
      <c r="K424" s="72"/>
      <c r="L424" s="69" t="str">
        <f t="shared" si="1"/>
        <v>off set</v>
      </c>
    </row>
    <row r="425" ht="22.5" customHeight="1">
      <c r="A425" s="59">
        <v>424.0</v>
      </c>
      <c r="B425" s="63"/>
      <c r="C425" s="74"/>
      <c r="D425" s="63"/>
      <c r="E425" s="63"/>
      <c r="F425" s="63"/>
      <c r="G425" s="65"/>
      <c r="H425" s="75" t="str">
        <f>IF(B425 = "Smile", G425 + 'Over View'!$B$3, IF(B425 = "Bianco" , G425 + 'Over View'!$B$4, IF(B425 = "Giallo" , G425 + 'Over View'!$B$5, IF(B425 = "Blu" , G425 + 'Over View'!$B$6, IF(B425 = "Verde" , G425 + 'Over View'!$B$7, IF(B425 = "Rosso" , G425 + 'Over View'!$B$8, "Grado Non Inserito") )))))</f>
        <v>Grado Non Inserito</v>
      </c>
      <c r="I425" s="66" t="b">
        <v>0</v>
      </c>
      <c r="J425" s="71"/>
      <c r="K425" s="72"/>
      <c r="L425" s="69" t="str">
        <f t="shared" si="1"/>
        <v>off set</v>
      </c>
    </row>
    <row r="426" ht="22.5" customHeight="1">
      <c r="A426" s="59">
        <v>425.0</v>
      </c>
      <c r="B426" s="63"/>
      <c r="C426" s="74"/>
      <c r="D426" s="63"/>
      <c r="E426" s="63"/>
      <c r="F426" s="63"/>
      <c r="G426" s="65"/>
      <c r="H426" s="75" t="str">
        <f>IF(B426 = "Smile", G426 + 'Over View'!$B$3, IF(B426 = "Bianco" , G426 + 'Over View'!$B$4, IF(B426 = "Giallo" , G426 + 'Over View'!$B$5, IF(B426 = "Blu" , G426 + 'Over View'!$B$6, IF(B426 = "Verde" , G426 + 'Over View'!$B$7, IF(B426 = "Rosso" , G426 + 'Over View'!$B$8, "Grado Non Inserito") )))))</f>
        <v>Grado Non Inserito</v>
      </c>
      <c r="I426" s="66" t="b">
        <v>0</v>
      </c>
      <c r="J426" s="71"/>
      <c r="K426" s="72"/>
      <c r="L426" s="69" t="str">
        <f t="shared" si="1"/>
        <v>off set</v>
      </c>
    </row>
    <row r="427" ht="22.5" customHeight="1">
      <c r="A427" s="59">
        <v>426.0</v>
      </c>
      <c r="B427" s="63"/>
      <c r="C427" s="74"/>
      <c r="D427" s="63"/>
      <c r="E427" s="63"/>
      <c r="F427" s="63"/>
      <c r="G427" s="65"/>
      <c r="H427" s="75" t="str">
        <f>IF(B427 = "Smile", G427 + 'Over View'!$B$3, IF(B427 = "Bianco" , G427 + 'Over View'!$B$4, IF(B427 = "Giallo" , G427 + 'Over View'!$B$5, IF(B427 = "Blu" , G427 + 'Over View'!$B$6, IF(B427 = "Verde" , G427 + 'Over View'!$B$7, IF(B427 = "Rosso" , G427 + 'Over View'!$B$8, "Grado Non Inserito") )))))</f>
        <v>Grado Non Inserito</v>
      </c>
      <c r="I427" s="66" t="b">
        <v>0</v>
      </c>
      <c r="J427" s="71"/>
      <c r="K427" s="72"/>
      <c r="L427" s="69" t="str">
        <f t="shared" si="1"/>
        <v>off set</v>
      </c>
    </row>
    <row r="428" ht="22.5" customHeight="1">
      <c r="A428" s="59">
        <v>427.0</v>
      </c>
      <c r="B428" s="63"/>
      <c r="C428" s="74"/>
      <c r="D428" s="63"/>
      <c r="E428" s="63"/>
      <c r="F428" s="63"/>
      <c r="G428" s="65"/>
      <c r="H428" s="75" t="str">
        <f>IF(B428 = "Smile", G428 + 'Over View'!$B$3, IF(B428 = "Bianco" , G428 + 'Over View'!$B$4, IF(B428 = "Giallo" , G428 + 'Over View'!$B$5, IF(B428 = "Blu" , G428 + 'Over View'!$B$6, IF(B428 = "Verde" , G428 + 'Over View'!$B$7, IF(B428 = "Rosso" , G428 + 'Over View'!$B$8, "Grado Non Inserito") )))))</f>
        <v>Grado Non Inserito</v>
      </c>
      <c r="I428" s="66" t="b">
        <v>0</v>
      </c>
      <c r="J428" s="71"/>
      <c r="K428" s="72"/>
      <c r="L428" s="69" t="str">
        <f t="shared" si="1"/>
        <v>off set</v>
      </c>
    </row>
    <row r="429" ht="22.5" customHeight="1">
      <c r="A429" s="59">
        <v>428.0</v>
      </c>
      <c r="B429" s="63"/>
      <c r="C429" s="74"/>
      <c r="D429" s="63"/>
      <c r="E429" s="63"/>
      <c r="F429" s="63"/>
      <c r="G429" s="65"/>
      <c r="H429" s="75" t="str">
        <f>IF(B429 = "Smile", G429 + 'Over View'!$B$3, IF(B429 = "Bianco" , G429 + 'Over View'!$B$4, IF(B429 = "Giallo" , G429 + 'Over View'!$B$5, IF(B429 = "Blu" , G429 + 'Over View'!$B$6, IF(B429 = "Verde" , G429 + 'Over View'!$B$7, IF(B429 = "Rosso" , G429 + 'Over View'!$B$8, "Grado Non Inserito") )))))</f>
        <v>Grado Non Inserito</v>
      </c>
      <c r="I429" s="66" t="b">
        <v>0</v>
      </c>
      <c r="J429" s="71"/>
      <c r="K429" s="72"/>
      <c r="L429" s="69" t="str">
        <f t="shared" si="1"/>
        <v>off set</v>
      </c>
    </row>
    <row r="430" ht="22.5" customHeight="1">
      <c r="A430" s="59">
        <v>429.0</v>
      </c>
      <c r="B430" s="63"/>
      <c r="C430" s="74"/>
      <c r="D430" s="63"/>
      <c r="E430" s="63"/>
      <c r="F430" s="63"/>
      <c r="G430" s="65"/>
      <c r="H430" s="75" t="str">
        <f>IF(B430 = "Smile", G430 + 'Over View'!$B$3, IF(B430 = "Bianco" , G430 + 'Over View'!$B$4, IF(B430 = "Giallo" , G430 + 'Over View'!$B$5, IF(B430 = "Blu" , G430 + 'Over View'!$B$6, IF(B430 = "Verde" , G430 + 'Over View'!$B$7, IF(B430 = "Rosso" , G430 + 'Over View'!$B$8, "Grado Non Inserito") )))))</f>
        <v>Grado Non Inserito</v>
      </c>
      <c r="I430" s="66" t="b">
        <v>0</v>
      </c>
      <c r="J430" s="71"/>
      <c r="K430" s="72"/>
      <c r="L430" s="69" t="str">
        <f t="shared" si="1"/>
        <v>off set</v>
      </c>
    </row>
    <row r="431" ht="22.5" customHeight="1">
      <c r="A431" s="59">
        <v>430.0</v>
      </c>
      <c r="B431" s="63"/>
      <c r="C431" s="74"/>
      <c r="D431" s="63"/>
      <c r="E431" s="63"/>
      <c r="F431" s="63"/>
      <c r="G431" s="65"/>
      <c r="H431" s="75" t="str">
        <f>IF(B431 = "Smile", G431 + 'Over View'!$B$3, IF(B431 = "Bianco" , G431 + 'Over View'!$B$4, IF(B431 = "Giallo" , G431 + 'Over View'!$B$5, IF(B431 = "Blu" , G431 + 'Over View'!$B$6, IF(B431 = "Verde" , G431 + 'Over View'!$B$7, IF(B431 = "Rosso" , G431 + 'Over View'!$B$8, "Grado Non Inserito") )))))</f>
        <v>Grado Non Inserito</v>
      </c>
      <c r="I431" s="66" t="b">
        <v>0</v>
      </c>
      <c r="J431" s="71"/>
      <c r="K431" s="72"/>
      <c r="L431" s="69" t="str">
        <f t="shared" si="1"/>
        <v>off set</v>
      </c>
    </row>
    <row r="432" ht="22.5" customHeight="1">
      <c r="A432" s="59">
        <v>431.0</v>
      </c>
      <c r="B432" s="63"/>
      <c r="C432" s="74"/>
      <c r="D432" s="63"/>
      <c r="E432" s="63"/>
      <c r="F432" s="63"/>
      <c r="G432" s="65"/>
      <c r="H432" s="75" t="str">
        <f>IF(B432 = "Smile", G432 + 'Over View'!$B$3, IF(B432 = "Bianco" , G432 + 'Over View'!$B$4, IF(B432 = "Giallo" , G432 + 'Over View'!$B$5, IF(B432 = "Blu" , G432 + 'Over View'!$B$6, IF(B432 = "Verde" , G432 + 'Over View'!$B$7, IF(B432 = "Rosso" , G432 + 'Over View'!$B$8, "Grado Non Inserito") )))))</f>
        <v>Grado Non Inserito</v>
      </c>
      <c r="I432" s="66" t="b">
        <v>0</v>
      </c>
      <c r="J432" s="71"/>
      <c r="K432" s="72"/>
      <c r="L432" s="69" t="str">
        <f t="shared" si="1"/>
        <v>off set</v>
      </c>
    </row>
    <row r="433" ht="22.5" customHeight="1">
      <c r="A433" s="59">
        <v>432.0</v>
      </c>
      <c r="B433" s="63"/>
      <c r="C433" s="74"/>
      <c r="D433" s="63"/>
      <c r="E433" s="63"/>
      <c r="F433" s="63"/>
      <c r="G433" s="65"/>
      <c r="H433" s="75" t="str">
        <f>IF(B433 = "Smile", G433 + 'Over View'!$B$3, IF(B433 = "Bianco" , G433 + 'Over View'!$B$4, IF(B433 = "Giallo" , G433 + 'Over View'!$B$5, IF(B433 = "Blu" , G433 + 'Over View'!$B$6, IF(B433 = "Verde" , G433 + 'Over View'!$B$7, IF(B433 = "Rosso" , G433 + 'Over View'!$B$8, "Grado Non Inserito") )))))</f>
        <v>Grado Non Inserito</v>
      </c>
      <c r="I433" s="66" t="b">
        <v>0</v>
      </c>
      <c r="J433" s="71"/>
      <c r="K433" s="72"/>
      <c r="L433" s="69" t="str">
        <f t="shared" si="1"/>
        <v>off set</v>
      </c>
    </row>
    <row r="434" ht="22.5" customHeight="1">
      <c r="A434" s="59">
        <v>433.0</v>
      </c>
      <c r="B434" s="63"/>
      <c r="C434" s="74"/>
      <c r="D434" s="63"/>
      <c r="E434" s="63"/>
      <c r="F434" s="63"/>
      <c r="G434" s="65"/>
      <c r="H434" s="75" t="str">
        <f>IF(B434 = "Smile", G434 + 'Over View'!$B$3, IF(B434 = "Bianco" , G434 + 'Over View'!$B$4, IF(B434 = "Giallo" , G434 + 'Over View'!$B$5, IF(B434 = "Blu" , G434 + 'Over View'!$B$6, IF(B434 = "Verde" , G434 + 'Over View'!$B$7, IF(B434 = "Rosso" , G434 + 'Over View'!$B$8, "Grado Non Inserito") )))))</f>
        <v>Grado Non Inserito</v>
      </c>
      <c r="I434" s="66" t="b">
        <v>0</v>
      </c>
      <c r="J434" s="71"/>
      <c r="K434" s="72"/>
      <c r="L434" s="69" t="str">
        <f t="shared" si="1"/>
        <v>off set</v>
      </c>
    </row>
    <row r="435" ht="22.5" customHeight="1">
      <c r="A435" s="59">
        <v>434.0</v>
      </c>
      <c r="B435" s="63"/>
      <c r="C435" s="74"/>
      <c r="D435" s="63"/>
      <c r="E435" s="63"/>
      <c r="F435" s="63"/>
      <c r="G435" s="65"/>
      <c r="H435" s="75" t="str">
        <f>IF(B435 = "Smile", G435 + 'Over View'!$B$3, IF(B435 = "Bianco" , G435 + 'Over View'!$B$4, IF(B435 = "Giallo" , G435 + 'Over View'!$B$5, IF(B435 = "Blu" , G435 + 'Over View'!$B$6, IF(B435 = "Verde" , G435 + 'Over View'!$B$7, IF(B435 = "Rosso" , G435 + 'Over View'!$B$8, "Grado Non Inserito") )))))</f>
        <v>Grado Non Inserito</v>
      </c>
      <c r="I435" s="66" t="b">
        <v>0</v>
      </c>
      <c r="J435" s="71"/>
      <c r="K435" s="72"/>
      <c r="L435" s="69" t="str">
        <f t="shared" si="1"/>
        <v>off set</v>
      </c>
    </row>
    <row r="436" ht="22.5" customHeight="1">
      <c r="A436" s="59">
        <v>435.0</v>
      </c>
      <c r="B436" s="63"/>
      <c r="C436" s="74"/>
      <c r="D436" s="63"/>
      <c r="E436" s="63"/>
      <c r="F436" s="63"/>
      <c r="G436" s="65"/>
      <c r="H436" s="75" t="str">
        <f>IF(B436 = "Smile", G436 + 'Over View'!$B$3, IF(B436 = "Bianco" , G436 + 'Over View'!$B$4, IF(B436 = "Giallo" , G436 + 'Over View'!$B$5, IF(B436 = "Blu" , G436 + 'Over View'!$B$6, IF(B436 = "Verde" , G436 + 'Over View'!$B$7, IF(B436 = "Rosso" , G436 + 'Over View'!$B$8, "Grado Non Inserito") )))))</f>
        <v>Grado Non Inserito</v>
      </c>
      <c r="I436" s="66" t="b">
        <v>0</v>
      </c>
      <c r="J436" s="71"/>
      <c r="K436" s="72"/>
      <c r="L436" s="69" t="str">
        <f t="shared" si="1"/>
        <v>off set</v>
      </c>
    </row>
    <row r="437" ht="22.5" customHeight="1">
      <c r="A437" s="59">
        <v>436.0</v>
      </c>
      <c r="B437" s="63"/>
      <c r="C437" s="74"/>
      <c r="D437" s="63"/>
      <c r="E437" s="63"/>
      <c r="F437" s="63"/>
      <c r="G437" s="65"/>
      <c r="H437" s="75" t="str">
        <f>IF(B437 = "Smile", G437 + 'Over View'!$B$3, IF(B437 = "Bianco" , G437 + 'Over View'!$B$4, IF(B437 = "Giallo" , G437 + 'Over View'!$B$5, IF(B437 = "Blu" , G437 + 'Over View'!$B$6, IF(B437 = "Verde" , G437 + 'Over View'!$B$7, IF(B437 = "Rosso" , G437 + 'Over View'!$B$8, "Grado Non Inserito") )))))</f>
        <v>Grado Non Inserito</v>
      </c>
      <c r="I437" s="66" t="b">
        <v>0</v>
      </c>
      <c r="J437" s="71"/>
      <c r="K437" s="72"/>
      <c r="L437" s="69" t="str">
        <f t="shared" si="1"/>
        <v>off set</v>
      </c>
    </row>
    <row r="438" ht="22.5" customHeight="1">
      <c r="A438" s="59">
        <v>437.0</v>
      </c>
      <c r="B438" s="63"/>
      <c r="C438" s="74"/>
      <c r="D438" s="63"/>
      <c r="E438" s="63"/>
      <c r="F438" s="63"/>
      <c r="G438" s="65"/>
      <c r="H438" s="75" t="str">
        <f>IF(B438 = "Smile", G438 + 'Over View'!$B$3, IF(B438 = "Bianco" , G438 + 'Over View'!$B$4, IF(B438 = "Giallo" , G438 + 'Over View'!$B$5, IF(B438 = "Blu" , G438 + 'Over View'!$B$6, IF(B438 = "Verde" , G438 + 'Over View'!$B$7, IF(B438 = "Rosso" , G438 + 'Over View'!$B$8, "Grado Non Inserito") )))))</f>
        <v>Grado Non Inserito</v>
      </c>
      <c r="I438" s="66" t="b">
        <v>0</v>
      </c>
      <c r="J438" s="71"/>
      <c r="K438" s="72"/>
      <c r="L438" s="69" t="str">
        <f t="shared" si="1"/>
        <v>off set</v>
      </c>
    </row>
    <row r="439" ht="22.5" customHeight="1">
      <c r="A439" s="59">
        <v>438.0</v>
      </c>
      <c r="B439" s="63"/>
      <c r="C439" s="74"/>
      <c r="D439" s="63"/>
      <c r="E439" s="63"/>
      <c r="F439" s="63"/>
      <c r="G439" s="65"/>
      <c r="H439" s="75" t="str">
        <f>IF(B439 = "Smile", G439 + 'Over View'!$B$3, IF(B439 = "Bianco" , G439 + 'Over View'!$B$4, IF(B439 = "Giallo" , G439 + 'Over View'!$B$5, IF(B439 = "Blu" , G439 + 'Over View'!$B$6, IF(B439 = "Verde" , G439 + 'Over View'!$B$7, IF(B439 = "Rosso" , G439 + 'Over View'!$B$8, "Grado Non Inserito") )))))</f>
        <v>Grado Non Inserito</v>
      </c>
      <c r="I439" s="66" t="b">
        <v>0</v>
      </c>
      <c r="J439" s="71"/>
      <c r="K439" s="72"/>
      <c r="L439" s="69" t="str">
        <f t="shared" si="1"/>
        <v>off set</v>
      </c>
    </row>
    <row r="440" ht="22.5" customHeight="1">
      <c r="A440" s="59">
        <v>439.0</v>
      </c>
      <c r="B440" s="63"/>
      <c r="C440" s="74"/>
      <c r="D440" s="63"/>
      <c r="E440" s="63"/>
      <c r="F440" s="63"/>
      <c r="G440" s="65"/>
      <c r="H440" s="75" t="str">
        <f>IF(B440 = "Smile", G440 + 'Over View'!$B$3, IF(B440 = "Bianco" , G440 + 'Over View'!$B$4, IF(B440 = "Giallo" , G440 + 'Over View'!$B$5, IF(B440 = "Blu" , G440 + 'Over View'!$B$6, IF(B440 = "Verde" , G440 + 'Over View'!$B$7, IF(B440 = "Rosso" , G440 + 'Over View'!$B$8, "Grado Non Inserito") )))))</f>
        <v>Grado Non Inserito</v>
      </c>
      <c r="I440" s="66" t="b">
        <v>0</v>
      </c>
      <c r="J440" s="71"/>
      <c r="K440" s="72"/>
      <c r="L440" s="69" t="str">
        <f t="shared" si="1"/>
        <v>off set</v>
      </c>
    </row>
    <row r="441" ht="22.5" customHeight="1">
      <c r="A441" s="59">
        <v>440.0</v>
      </c>
      <c r="B441" s="63"/>
      <c r="C441" s="74"/>
      <c r="D441" s="63"/>
      <c r="E441" s="63"/>
      <c r="F441" s="63"/>
      <c r="G441" s="65"/>
      <c r="H441" s="75" t="str">
        <f>IF(B441 = "Smile", G441 + 'Over View'!$B$3, IF(B441 = "Bianco" , G441 + 'Over View'!$B$4, IF(B441 = "Giallo" , G441 + 'Over View'!$B$5, IF(B441 = "Blu" , G441 + 'Over View'!$B$6, IF(B441 = "Verde" , G441 + 'Over View'!$B$7, IF(B441 = "Rosso" , G441 + 'Over View'!$B$8, "Grado Non Inserito") )))))</f>
        <v>Grado Non Inserito</v>
      </c>
      <c r="I441" s="66" t="b">
        <v>0</v>
      </c>
      <c r="J441" s="71"/>
      <c r="K441" s="72"/>
      <c r="L441" s="69" t="str">
        <f t="shared" si="1"/>
        <v>off set</v>
      </c>
    </row>
    <row r="442" ht="22.5" customHeight="1">
      <c r="A442" s="59">
        <v>441.0</v>
      </c>
      <c r="B442" s="63"/>
      <c r="C442" s="74"/>
      <c r="D442" s="63"/>
      <c r="E442" s="63"/>
      <c r="F442" s="63"/>
      <c r="G442" s="65"/>
      <c r="H442" s="75" t="str">
        <f>IF(B442 = "Smile", G442 + 'Over View'!$B$3, IF(B442 = "Bianco" , G442 + 'Over View'!$B$4, IF(B442 = "Giallo" , G442 + 'Over View'!$B$5, IF(B442 = "Blu" , G442 + 'Over View'!$B$6, IF(B442 = "Verde" , G442 + 'Over View'!$B$7, IF(B442 = "Rosso" , G442 + 'Over View'!$B$8, "Grado Non Inserito") )))))</f>
        <v>Grado Non Inserito</v>
      </c>
      <c r="I442" s="66" t="b">
        <v>0</v>
      </c>
      <c r="J442" s="71"/>
      <c r="K442" s="72"/>
      <c r="L442" s="69" t="str">
        <f t="shared" si="1"/>
        <v>off set</v>
      </c>
    </row>
    <row r="443" ht="22.5" customHeight="1">
      <c r="A443" s="59">
        <v>442.0</v>
      </c>
      <c r="B443" s="63"/>
      <c r="C443" s="74"/>
      <c r="D443" s="63"/>
      <c r="E443" s="63"/>
      <c r="F443" s="63"/>
      <c r="G443" s="65"/>
      <c r="H443" s="75" t="str">
        <f>IF(B443 = "Smile", G443 + 'Over View'!$B$3, IF(B443 = "Bianco" , G443 + 'Over View'!$B$4, IF(B443 = "Giallo" , G443 + 'Over View'!$B$5, IF(B443 = "Blu" , G443 + 'Over View'!$B$6, IF(B443 = "Verde" , G443 + 'Over View'!$B$7, IF(B443 = "Rosso" , G443 + 'Over View'!$B$8, "Grado Non Inserito") )))))</f>
        <v>Grado Non Inserito</v>
      </c>
      <c r="I443" s="66" t="b">
        <v>0</v>
      </c>
      <c r="J443" s="71"/>
      <c r="K443" s="72"/>
      <c r="L443" s="69" t="str">
        <f t="shared" si="1"/>
        <v>off set</v>
      </c>
    </row>
    <row r="444" ht="22.5" customHeight="1">
      <c r="A444" s="59">
        <v>443.0</v>
      </c>
      <c r="B444" s="63"/>
      <c r="C444" s="74"/>
      <c r="D444" s="63"/>
      <c r="E444" s="63"/>
      <c r="F444" s="63"/>
      <c r="G444" s="65"/>
      <c r="H444" s="75" t="str">
        <f>IF(B444 = "Smile", G444 + 'Over View'!$B$3, IF(B444 = "Bianco" , G444 + 'Over View'!$B$4, IF(B444 = "Giallo" , G444 + 'Over View'!$B$5, IF(B444 = "Blu" , G444 + 'Over View'!$B$6, IF(B444 = "Verde" , G444 + 'Over View'!$B$7, IF(B444 = "Rosso" , G444 + 'Over View'!$B$8, "Grado Non Inserito") )))))</f>
        <v>Grado Non Inserito</v>
      </c>
      <c r="I444" s="66" t="b">
        <v>0</v>
      </c>
      <c r="J444" s="71"/>
      <c r="K444" s="72"/>
      <c r="L444" s="69" t="str">
        <f t="shared" si="1"/>
        <v>off set</v>
      </c>
    </row>
    <row r="445" ht="22.5" customHeight="1">
      <c r="A445" s="59">
        <v>444.0</v>
      </c>
      <c r="B445" s="63"/>
      <c r="C445" s="74"/>
      <c r="D445" s="63"/>
      <c r="E445" s="63"/>
      <c r="F445" s="63"/>
      <c r="G445" s="65"/>
      <c r="H445" s="75" t="str">
        <f>IF(B445 = "Smile", G445 + 'Over View'!$B$3, IF(B445 = "Bianco" , G445 + 'Over View'!$B$4, IF(B445 = "Giallo" , G445 + 'Over View'!$B$5, IF(B445 = "Blu" , G445 + 'Over View'!$B$6, IF(B445 = "Verde" , G445 + 'Over View'!$B$7, IF(B445 = "Rosso" , G445 + 'Over View'!$B$8, "Grado Non Inserito") )))))</f>
        <v>Grado Non Inserito</v>
      </c>
      <c r="I445" s="66" t="b">
        <v>0</v>
      </c>
      <c r="J445" s="71"/>
      <c r="K445" s="72"/>
      <c r="L445" s="69" t="str">
        <f t="shared" si="1"/>
        <v>off set</v>
      </c>
    </row>
    <row r="446" ht="22.5" customHeight="1">
      <c r="A446" s="59">
        <v>445.0</v>
      </c>
      <c r="B446" s="63"/>
      <c r="C446" s="74"/>
      <c r="D446" s="63"/>
      <c r="E446" s="63"/>
      <c r="F446" s="63"/>
      <c r="G446" s="65"/>
      <c r="H446" s="75" t="str">
        <f>IF(B446 = "Smile", G446 + 'Over View'!$B$3, IF(B446 = "Bianco" , G446 + 'Over View'!$B$4, IF(B446 = "Giallo" , G446 + 'Over View'!$B$5, IF(B446 = "Blu" , G446 + 'Over View'!$B$6, IF(B446 = "Verde" , G446 + 'Over View'!$B$7, IF(B446 = "Rosso" , G446 + 'Over View'!$B$8, "Grado Non Inserito") )))))</f>
        <v>Grado Non Inserito</v>
      </c>
      <c r="I446" s="66" t="b">
        <v>0</v>
      </c>
      <c r="J446" s="71"/>
      <c r="K446" s="72"/>
      <c r="L446" s="69" t="str">
        <f t="shared" si="1"/>
        <v>off set</v>
      </c>
    </row>
    <row r="447" ht="22.5" customHeight="1">
      <c r="A447" s="59">
        <v>446.0</v>
      </c>
      <c r="B447" s="63"/>
      <c r="C447" s="74"/>
      <c r="D447" s="63"/>
      <c r="E447" s="63"/>
      <c r="F447" s="63"/>
      <c r="G447" s="65"/>
      <c r="H447" s="75" t="str">
        <f>IF(B447 = "Smile", G447 + 'Over View'!$B$3, IF(B447 = "Bianco" , G447 + 'Over View'!$B$4, IF(B447 = "Giallo" , G447 + 'Over View'!$B$5, IF(B447 = "Blu" , G447 + 'Over View'!$B$6, IF(B447 = "Verde" , G447 + 'Over View'!$B$7, IF(B447 = "Rosso" , G447 + 'Over View'!$B$8, "Grado Non Inserito") )))))</f>
        <v>Grado Non Inserito</v>
      </c>
      <c r="I447" s="66" t="b">
        <v>0</v>
      </c>
      <c r="J447" s="71"/>
      <c r="K447" s="72"/>
      <c r="L447" s="69" t="str">
        <f t="shared" si="1"/>
        <v>off set</v>
      </c>
    </row>
    <row r="448" ht="22.5" customHeight="1">
      <c r="A448" s="59">
        <v>447.0</v>
      </c>
      <c r="B448" s="63"/>
      <c r="C448" s="74"/>
      <c r="D448" s="63"/>
      <c r="E448" s="63"/>
      <c r="F448" s="63"/>
      <c r="G448" s="65"/>
      <c r="H448" s="75" t="str">
        <f>IF(B448 = "Smile", G448 + 'Over View'!$B$3, IF(B448 = "Bianco" , G448 + 'Over View'!$B$4, IF(B448 = "Giallo" , G448 + 'Over View'!$B$5, IF(B448 = "Blu" , G448 + 'Over View'!$B$6, IF(B448 = "Verde" , G448 + 'Over View'!$B$7, IF(B448 = "Rosso" , G448 + 'Over View'!$B$8, "Grado Non Inserito") )))))</f>
        <v>Grado Non Inserito</v>
      </c>
      <c r="I448" s="66" t="b">
        <v>0</v>
      </c>
      <c r="J448" s="71"/>
      <c r="K448" s="72"/>
      <c r="L448" s="69" t="str">
        <f t="shared" si="1"/>
        <v>off set</v>
      </c>
    </row>
    <row r="449" ht="22.5" customHeight="1">
      <c r="A449" s="59">
        <v>448.0</v>
      </c>
      <c r="B449" s="63"/>
      <c r="C449" s="74"/>
      <c r="D449" s="63"/>
      <c r="E449" s="63"/>
      <c r="F449" s="63"/>
      <c r="G449" s="65"/>
      <c r="H449" s="75" t="str">
        <f>IF(B449 = "Smile", G449 + 'Over View'!$B$3, IF(B449 = "Bianco" , G449 + 'Over View'!$B$4, IF(B449 = "Giallo" , G449 + 'Over View'!$B$5, IF(B449 = "Blu" , G449 + 'Over View'!$B$6, IF(B449 = "Verde" , G449 + 'Over View'!$B$7, IF(B449 = "Rosso" , G449 + 'Over View'!$B$8, "Grado Non Inserito") )))))</f>
        <v>Grado Non Inserito</v>
      </c>
      <c r="I449" s="66" t="b">
        <v>0</v>
      </c>
      <c r="J449" s="71"/>
      <c r="K449" s="72"/>
      <c r="L449" s="69" t="str">
        <f t="shared" si="1"/>
        <v>off set</v>
      </c>
    </row>
    <row r="450" ht="22.5" customHeight="1">
      <c r="A450" s="59">
        <v>449.0</v>
      </c>
      <c r="B450" s="63"/>
      <c r="C450" s="74"/>
      <c r="D450" s="63"/>
      <c r="E450" s="63"/>
      <c r="F450" s="63"/>
      <c r="G450" s="65"/>
      <c r="H450" s="75" t="str">
        <f>IF(B450 = "Smile", G450 + 'Over View'!$B$3, IF(B450 = "Bianco" , G450 + 'Over View'!$B$4, IF(B450 = "Giallo" , G450 + 'Over View'!$B$5, IF(B450 = "Blu" , G450 + 'Over View'!$B$6, IF(B450 = "Verde" , G450 + 'Over View'!$B$7, IF(B450 = "Rosso" , G450 + 'Over View'!$B$8, "Grado Non Inserito") )))))</f>
        <v>Grado Non Inserito</v>
      </c>
      <c r="I450" s="66" t="b">
        <v>0</v>
      </c>
      <c r="J450" s="71"/>
      <c r="K450" s="72"/>
      <c r="L450" s="69" t="str">
        <f t="shared" si="1"/>
        <v>off set</v>
      </c>
    </row>
    <row r="451" ht="22.5" customHeight="1">
      <c r="A451" s="59">
        <v>450.0</v>
      </c>
      <c r="B451" s="63"/>
      <c r="C451" s="74"/>
      <c r="D451" s="63"/>
      <c r="E451" s="63"/>
      <c r="F451" s="63"/>
      <c r="G451" s="65"/>
      <c r="H451" s="75" t="str">
        <f>IF(B451 = "Smile", G451 + 'Over View'!$B$3, IF(B451 = "Bianco" , G451 + 'Over View'!$B$4, IF(B451 = "Giallo" , G451 + 'Over View'!$B$5, IF(B451 = "Blu" , G451 + 'Over View'!$B$6, IF(B451 = "Verde" , G451 + 'Over View'!$B$7, IF(B451 = "Rosso" , G451 + 'Over View'!$B$8, "Grado Non Inserito") )))))</f>
        <v>Grado Non Inserito</v>
      </c>
      <c r="I451" s="66" t="b">
        <v>0</v>
      </c>
      <c r="J451" s="71"/>
      <c r="K451" s="72"/>
      <c r="L451" s="69" t="str">
        <f t="shared" si="1"/>
        <v>off set</v>
      </c>
    </row>
    <row r="452" ht="22.5" customHeight="1">
      <c r="A452" s="59">
        <v>451.0</v>
      </c>
      <c r="B452" s="63"/>
      <c r="C452" s="74"/>
      <c r="D452" s="63"/>
      <c r="E452" s="63"/>
      <c r="F452" s="63"/>
      <c r="G452" s="65"/>
      <c r="H452" s="75" t="str">
        <f>IF(B452 = "Smile", G452 + 'Over View'!$B$3, IF(B452 = "Bianco" , G452 + 'Over View'!$B$4, IF(B452 = "Giallo" , G452 + 'Over View'!$B$5, IF(B452 = "Blu" , G452 + 'Over View'!$B$6, IF(B452 = "Verde" , G452 + 'Over View'!$B$7, IF(B452 = "Rosso" , G452 + 'Over View'!$B$8, "Grado Non Inserito") )))))</f>
        <v>Grado Non Inserito</v>
      </c>
      <c r="I452" s="66" t="b">
        <v>0</v>
      </c>
      <c r="J452" s="71"/>
      <c r="K452" s="72"/>
      <c r="L452" s="69" t="str">
        <f t="shared" si="1"/>
        <v>off set</v>
      </c>
    </row>
    <row r="453" ht="22.5" customHeight="1">
      <c r="A453" s="59">
        <v>452.0</v>
      </c>
      <c r="B453" s="63"/>
      <c r="C453" s="74"/>
      <c r="D453" s="63"/>
      <c r="E453" s="63"/>
      <c r="F453" s="63"/>
      <c r="G453" s="65"/>
      <c r="H453" s="75" t="str">
        <f>IF(B453 = "Smile", G453 + 'Over View'!$B$3, IF(B453 = "Bianco" , G453 + 'Over View'!$B$4, IF(B453 = "Giallo" , G453 + 'Over View'!$B$5, IF(B453 = "Blu" , G453 + 'Over View'!$B$6, IF(B453 = "Verde" , G453 + 'Over View'!$B$7, IF(B453 = "Rosso" , G453 + 'Over View'!$B$8, "Grado Non Inserito") )))))</f>
        <v>Grado Non Inserito</v>
      </c>
      <c r="I453" s="66" t="b">
        <v>0</v>
      </c>
      <c r="J453" s="71"/>
      <c r="K453" s="72"/>
      <c r="L453" s="69" t="str">
        <f t="shared" si="1"/>
        <v>off set</v>
      </c>
    </row>
    <row r="454" ht="22.5" customHeight="1">
      <c r="A454" s="59">
        <v>453.0</v>
      </c>
      <c r="B454" s="63"/>
      <c r="C454" s="74"/>
      <c r="D454" s="63"/>
      <c r="E454" s="63"/>
      <c r="F454" s="63"/>
      <c r="G454" s="65"/>
      <c r="H454" s="75" t="str">
        <f>IF(B454 = "Smile", G454 + 'Over View'!$B$3, IF(B454 = "Bianco" , G454 + 'Over View'!$B$4, IF(B454 = "Giallo" , G454 + 'Over View'!$B$5, IF(B454 = "Blu" , G454 + 'Over View'!$B$6, IF(B454 = "Verde" , G454 + 'Over View'!$B$7, IF(B454 = "Rosso" , G454 + 'Over View'!$B$8, "Grado Non Inserito") )))))</f>
        <v>Grado Non Inserito</v>
      </c>
      <c r="I454" s="66" t="b">
        <v>0</v>
      </c>
      <c r="J454" s="71"/>
      <c r="K454" s="72"/>
      <c r="L454" s="69" t="str">
        <f t="shared" si="1"/>
        <v>off set</v>
      </c>
    </row>
    <row r="455" ht="22.5" customHeight="1">
      <c r="A455" s="59">
        <v>454.0</v>
      </c>
      <c r="B455" s="63"/>
      <c r="C455" s="74"/>
      <c r="D455" s="63"/>
      <c r="E455" s="63"/>
      <c r="F455" s="63"/>
      <c r="G455" s="65"/>
      <c r="H455" s="75" t="str">
        <f>IF(B455 = "Smile", G455 + 'Over View'!$B$3, IF(B455 = "Bianco" , G455 + 'Over View'!$B$4, IF(B455 = "Giallo" , G455 + 'Over View'!$B$5, IF(B455 = "Blu" , G455 + 'Over View'!$B$6, IF(B455 = "Verde" , G455 + 'Over View'!$B$7, IF(B455 = "Rosso" , G455 + 'Over View'!$B$8, "Grado Non Inserito") )))))</f>
        <v>Grado Non Inserito</v>
      </c>
      <c r="I455" s="66" t="b">
        <v>0</v>
      </c>
      <c r="J455" s="71"/>
      <c r="K455" s="72"/>
      <c r="L455" s="69" t="str">
        <f t="shared" si="1"/>
        <v>off set</v>
      </c>
    </row>
    <row r="456" ht="22.5" customHeight="1">
      <c r="A456" s="59">
        <v>455.0</v>
      </c>
      <c r="B456" s="63"/>
      <c r="C456" s="74"/>
      <c r="D456" s="63"/>
      <c r="E456" s="63"/>
      <c r="F456" s="63"/>
      <c r="G456" s="65"/>
      <c r="H456" s="75" t="str">
        <f>IF(B456 = "Smile", G456 + 'Over View'!$B$3, IF(B456 = "Bianco" , G456 + 'Over View'!$B$4, IF(B456 = "Giallo" , G456 + 'Over View'!$B$5, IF(B456 = "Blu" , G456 + 'Over View'!$B$6, IF(B456 = "Verde" , G456 + 'Over View'!$B$7, IF(B456 = "Rosso" , G456 + 'Over View'!$B$8, "Grado Non Inserito") )))))</f>
        <v>Grado Non Inserito</v>
      </c>
      <c r="I456" s="66" t="b">
        <v>0</v>
      </c>
      <c r="J456" s="71"/>
      <c r="K456" s="72"/>
      <c r="L456" s="69" t="str">
        <f t="shared" si="1"/>
        <v>off set</v>
      </c>
    </row>
    <row r="457" ht="22.5" customHeight="1">
      <c r="A457" s="59">
        <v>456.0</v>
      </c>
      <c r="B457" s="63"/>
      <c r="C457" s="74"/>
      <c r="D457" s="63"/>
      <c r="E457" s="63"/>
      <c r="F457" s="63"/>
      <c r="G457" s="65"/>
      <c r="H457" s="75" t="str">
        <f>IF(B457 = "Smile", G457 + 'Over View'!$B$3, IF(B457 = "Bianco" , G457 + 'Over View'!$B$4, IF(B457 = "Giallo" , G457 + 'Over View'!$B$5, IF(B457 = "Blu" , G457 + 'Over View'!$B$6, IF(B457 = "Verde" , G457 + 'Over View'!$B$7, IF(B457 = "Rosso" , G457 + 'Over View'!$B$8, "Grado Non Inserito") )))))</f>
        <v>Grado Non Inserito</v>
      </c>
      <c r="I457" s="66" t="b">
        <v>0</v>
      </c>
      <c r="J457" s="71"/>
      <c r="K457" s="72"/>
      <c r="L457" s="69" t="str">
        <f t="shared" si="1"/>
        <v>off set</v>
      </c>
    </row>
    <row r="458" ht="22.5" customHeight="1">
      <c r="A458" s="59">
        <v>457.0</v>
      </c>
      <c r="B458" s="63"/>
      <c r="C458" s="74"/>
      <c r="D458" s="63"/>
      <c r="E458" s="63"/>
      <c r="F458" s="63"/>
      <c r="G458" s="65"/>
      <c r="H458" s="75" t="str">
        <f>IF(B458 = "Smile", G458 + 'Over View'!$B$3, IF(B458 = "Bianco" , G458 + 'Over View'!$B$4, IF(B458 = "Giallo" , G458 + 'Over View'!$B$5, IF(B458 = "Blu" , G458 + 'Over View'!$B$6, IF(B458 = "Verde" , G458 + 'Over View'!$B$7, IF(B458 = "Rosso" , G458 + 'Over View'!$B$8, "Grado Non Inserito") )))))</f>
        <v>Grado Non Inserito</v>
      </c>
      <c r="I458" s="66" t="b">
        <v>0</v>
      </c>
      <c r="J458" s="71"/>
      <c r="K458" s="72"/>
      <c r="L458" s="69" t="str">
        <f t="shared" si="1"/>
        <v>off set</v>
      </c>
    </row>
    <row r="459" ht="22.5" customHeight="1">
      <c r="A459" s="59">
        <v>458.0</v>
      </c>
      <c r="B459" s="63"/>
      <c r="C459" s="74"/>
      <c r="D459" s="63"/>
      <c r="E459" s="63"/>
      <c r="F459" s="63"/>
      <c r="G459" s="65"/>
      <c r="H459" s="75" t="str">
        <f>IF(B459 = "Smile", G459 + 'Over View'!$B$3, IF(B459 = "Bianco" , G459 + 'Over View'!$B$4, IF(B459 = "Giallo" , G459 + 'Over View'!$B$5, IF(B459 = "Blu" , G459 + 'Over View'!$B$6, IF(B459 = "Verde" , G459 + 'Over View'!$B$7, IF(B459 = "Rosso" , G459 + 'Over View'!$B$8, "Grado Non Inserito") )))))</f>
        <v>Grado Non Inserito</v>
      </c>
      <c r="I459" s="66" t="b">
        <v>0</v>
      </c>
      <c r="J459" s="71"/>
      <c r="K459" s="72"/>
      <c r="L459" s="69" t="str">
        <f t="shared" si="1"/>
        <v>off set</v>
      </c>
    </row>
    <row r="460" ht="22.5" customHeight="1">
      <c r="A460" s="59">
        <v>459.0</v>
      </c>
      <c r="B460" s="63"/>
      <c r="C460" s="74"/>
      <c r="D460" s="63"/>
      <c r="E460" s="63"/>
      <c r="F460" s="63"/>
      <c r="G460" s="65"/>
      <c r="H460" s="75" t="str">
        <f>IF(B460 = "Smile", G460 + 'Over View'!$B$3, IF(B460 = "Bianco" , G460 + 'Over View'!$B$4, IF(B460 = "Giallo" , G460 + 'Over View'!$B$5, IF(B460 = "Blu" , G460 + 'Over View'!$B$6, IF(B460 = "Verde" , G460 + 'Over View'!$B$7, IF(B460 = "Rosso" , G460 + 'Over View'!$B$8, "Grado Non Inserito") )))))</f>
        <v>Grado Non Inserito</v>
      </c>
      <c r="I460" s="66" t="b">
        <v>0</v>
      </c>
      <c r="J460" s="71"/>
      <c r="K460" s="72"/>
      <c r="L460" s="69" t="str">
        <f t="shared" si="1"/>
        <v>off set</v>
      </c>
    </row>
    <row r="461" ht="22.5" customHeight="1">
      <c r="A461" s="59">
        <v>460.0</v>
      </c>
      <c r="B461" s="63"/>
      <c r="C461" s="74"/>
      <c r="D461" s="63"/>
      <c r="E461" s="63"/>
      <c r="F461" s="63"/>
      <c r="G461" s="65"/>
      <c r="H461" s="75" t="str">
        <f>IF(B461 = "Smile", G461 + 'Over View'!$B$3, IF(B461 = "Bianco" , G461 + 'Over View'!$B$4, IF(B461 = "Giallo" , G461 + 'Over View'!$B$5, IF(B461 = "Blu" , G461 + 'Over View'!$B$6, IF(B461 = "Verde" , G461 + 'Over View'!$B$7, IF(B461 = "Rosso" , G461 + 'Over View'!$B$8, "Grado Non Inserito") )))))</f>
        <v>Grado Non Inserito</v>
      </c>
      <c r="I461" s="66" t="b">
        <v>0</v>
      </c>
      <c r="J461" s="71"/>
      <c r="K461" s="72"/>
      <c r="L461" s="69" t="str">
        <f t="shared" si="1"/>
        <v>off set</v>
      </c>
    </row>
    <row r="462" ht="22.5" customHeight="1">
      <c r="A462" s="59">
        <v>461.0</v>
      </c>
      <c r="B462" s="63"/>
      <c r="C462" s="74"/>
      <c r="D462" s="63"/>
      <c r="E462" s="63"/>
      <c r="F462" s="63"/>
      <c r="G462" s="65"/>
      <c r="H462" s="75" t="str">
        <f>IF(B462 = "Smile", G462 + 'Over View'!$B$3, IF(B462 = "Bianco" , G462 + 'Over View'!$B$4, IF(B462 = "Giallo" , G462 + 'Over View'!$B$5, IF(B462 = "Blu" , G462 + 'Over View'!$B$6, IF(B462 = "Verde" , G462 + 'Over View'!$B$7, IF(B462 = "Rosso" , G462 + 'Over View'!$B$8, "Grado Non Inserito") )))))</f>
        <v>Grado Non Inserito</v>
      </c>
      <c r="I462" s="66" t="b">
        <v>0</v>
      </c>
      <c r="J462" s="71"/>
      <c r="K462" s="72"/>
      <c r="L462" s="69" t="str">
        <f t="shared" si="1"/>
        <v>off set</v>
      </c>
    </row>
    <row r="463" ht="22.5" customHeight="1">
      <c r="A463" s="59">
        <v>462.0</v>
      </c>
      <c r="B463" s="63"/>
      <c r="C463" s="74"/>
      <c r="D463" s="63"/>
      <c r="E463" s="63"/>
      <c r="F463" s="63"/>
      <c r="G463" s="65"/>
      <c r="H463" s="75" t="str">
        <f>IF(B463 = "Smile", G463 + 'Over View'!$B$3, IF(B463 = "Bianco" , G463 + 'Over View'!$B$4, IF(B463 = "Giallo" , G463 + 'Over View'!$B$5, IF(B463 = "Blu" , G463 + 'Over View'!$B$6, IF(B463 = "Verde" , G463 + 'Over View'!$B$7, IF(B463 = "Rosso" , G463 + 'Over View'!$B$8, "Grado Non Inserito") )))))</f>
        <v>Grado Non Inserito</v>
      </c>
      <c r="I463" s="66" t="b">
        <v>0</v>
      </c>
      <c r="J463" s="71"/>
      <c r="K463" s="72"/>
      <c r="L463" s="69" t="str">
        <f t="shared" si="1"/>
        <v>off set</v>
      </c>
    </row>
    <row r="464" ht="22.5" customHeight="1">
      <c r="A464" s="59">
        <v>463.0</v>
      </c>
      <c r="B464" s="63"/>
      <c r="C464" s="74"/>
      <c r="D464" s="63"/>
      <c r="E464" s="63"/>
      <c r="F464" s="63"/>
      <c r="G464" s="65"/>
      <c r="H464" s="75" t="str">
        <f>IF(B464 = "Smile", G464 + 'Over View'!$B$3, IF(B464 = "Bianco" , G464 + 'Over View'!$B$4, IF(B464 = "Giallo" , G464 + 'Over View'!$B$5, IF(B464 = "Blu" , G464 + 'Over View'!$B$6, IF(B464 = "Verde" , G464 + 'Over View'!$B$7, IF(B464 = "Rosso" , G464 + 'Over View'!$B$8, "Grado Non Inserito") )))))</f>
        <v>Grado Non Inserito</v>
      </c>
      <c r="I464" s="66" t="b">
        <v>0</v>
      </c>
      <c r="J464" s="71"/>
      <c r="K464" s="72"/>
      <c r="L464" s="69" t="str">
        <f t="shared" si="1"/>
        <v>off set</v>
      </c>
    </row>
    <row r="465" ht="22.5" customHeight="1">
      <c r="A465" s="59">
        <v>464.0</v>
      </c>
      <c r="B465" s="63"/>
      <c r="C465" s="74"/>
      <c r="D465" s="63"/>
      <c r="E465" s="63"/>
      <c r="F465" s="63"/>
      <c r="G465" s="65"/>
      <c r="H465" s="75" t="str">
        <f>IF(B465 = "Smile", G465 + 'Over View'!$B$3, IF(B465 = "Bianco" , G465 + 'Over View'!$B$4, IF(B465 = "Giallo" , G465 + 'Over View'!$B$5, IF(B465 = "Blu" , G465 + 'Over View'!$B$6, IF(B465 = "Verde" , G465 + 'Over View'!$B$7, IF(B465 = "Rosso" , G465 + 'Over View'!$B$8, "Grado Non Inserito") )))))</f>
        <v>Grado Non Inserito</v>
      </c>
      <c r="I465" s="66" t="b">
        <v>0</v>
      </c>
      <c r="J465" s="71"/>
      <c r="K465" s="72"/>
      <c r="L465" s="69" t="str">
        <f t="shared" si="1"/>
        <v>off set</v>
      </c>
    </row>
    <row r="466" ht="22.5" customHeight="1">
      <c r="A466" s="59">
        <v>465.0</v>
      </c>
      <c r="B466" s="63"/>
      <c r="C466" s="74"/>
      <c r="D466" s="63"/>
      <c r="E466" s="63"/>
      <c r="F466" s="63"/>
      <c r="G466" s="65"/>
      <c r="H466" s="75" t="str">
        <f>IF(B466 = "Smile", G466 + 'Over View'!$B$3, IF(B466 = "Bianco" , G466 + 'Over View'!$B$4, IF(B466 = "Giallo" , G466 + 'Over View'!$B$5, IF(B466 = "Blu" , G466 + 'Over View'!$B$6, IF(B466 = "Verde" , G466 + 'Over View'!$B$7, IF(B466 = "Rosso" , G466 + 'Over View'!$B$8, "Grado Non Inserito") )))))</f>
        <v>Grado Non Inserito</v>
      </c>
      <c r="I466" s="66" t="b">
        <v>0</v>
      </c>
      <c r="J466" s="71"/>
      <c r="K466" s="72"/>
      <c r="L466" s="69" t="str">
        <f t="shared" si="1"/>
        <v>off set</v>
      </c>
    </row>
    <row r="467" ht="22.5" customHeight="1">
      <c r="A467" s="59">
        <v>466.0</v>
      </c>
      <c r="B467" s="63"/>
      <c r="C467" s="74"/>
      <c r="D467" s="63"/>
      <c r="E467" s="63"/>
      <c r="F467" s="63"/>
      <c r="G467" s="65"/>
      <c r="H467" s="75" t="str">
        <f>IF(B467 = "Smile", G467 + 'Over View'!$B$3, IF(B467 = "Bianco" , G467 + 'Over View'!$B$4, IF(B467 = "Giallo" , G467 + 'Over View'!$B$5, IF(B467 = "Blu" , G467 + 'Over View'!$B$6, IF(B467 = "Verde" , G467 + 'Over View'!$B$7, IF(B467 = "Rosso" , G467 + 'Over View'!$B$8, "Grado Non Inserito") )))))</f>
        <v>Grado Non Inserito</v>
      </c>
      <c r="I467" s="66" t="b">
        <v>0</v>
      </c>
      <c r="J467" s="71"/>
      <c r="K467" s="72"/>
      <c r="L467" s="69" t="str">
        <f t="shared" si="1"/>
        <v>off set</v>
      </c>
    </row>
    <row r="468" ht="22.5" customHeight="1">
      <c r="A468" s="59">
        <v>467.0</v>
      </c>
      <c r="B468" s="63"/>
      <c r="C468" s="74"/>
      <c r="D468" s="63"/>
      <c r="E468" s="63"/>
      <c r="F468" s="63"/>
      <c r="G468" s="65"/>
      <c r="H468" s="75" t="str">
        <f>IF(B468 = "Smile", G468 + 'Over View'!$B$3, IF(B468 = "Bianco" , G468 + 'Over View'!$B$4, IF(B468 = "Giallo" , G468 + 'Over View'!$B$5, IF(B468 = "Blu" , G468 + 'Over View'!$B$6, IF(B468 = "Verde" , G468 + 'Over View'!$B$7, IF(B468 = "Rosso" , G468 + 'Over View'!$B$8, "Grado Non Inserito") )))))</f>
        <v>Grado Non Inserito</v>
      </c>
      <c r="I468" s="66" t="b">
        <v>0</v>
      </c>
      <c r="J468" s="71"/>
      <c r="K468" s="72"/>
      <c r="L468" s="69" t="str">
        <f t="shared" si="1"/>
        <v>off set</v>
      </c>
    </row>
    <row r="469" ht="22.5" customHeight="1">
      <c r="A469" s="59">
        <v>468.0</v>
      </c>
      <c r="B469" s="63"/>
      <c r="C469" s="74"/>
      <c r="D469" s="63"/>
      <c r="E469" s="63"/>
      <c r="F469" s="63"/>
      <c r="G469" s="65"/>
      <c r="H469" s="75" t="str">
        <f>IF(B469 = "Smile", G469 + 'Over View'!$B$3, IF(B469 = "Bianco" , G469 + 'Over View'!$B$4, IF(B469 = "Giallo" , G469 + 'Over View'!$B$5, IF(B469 = "Blu" , G469 + 'Over View'!$B$6, IF(B469 = "Verde" , G469 + 'Over View'!$B$7, IF(B469 = "Rosso" , G469 + 'Over View'!$B$8, "Grado Non Inserito") )))))</f>
        <v>Grado Non Inserito</v>
      </c>
      <c r="I469" s="66" t="b">
        <v>0</v>
      </c>
      <c r="J469" s="71"/>
      <c r="K469" s="72"/>
      <c r="L469" s="69" t="str">
        <f t="shared" si="1"/>
        <v>off set</v>
      </c>
    </row>
    <row r="470" ht="22.5" customHeight="1">
      <c r="A470" s="59">
        <v>469.0</v>
      </c>
      <c r="B470" s="63"/>
      <c r="C470" s="74"/>
      <c r="D470" s="63"/>
      <c r="E470" s="63"/>
      <c r="F470" s="63"/>
      <c r="G470" s="65"/>
      <c r="H470" s="75" t="str">
        <f>IF(B470 = "Smile", G470 + 'Over View'!$B$3, IF(B470 = "Bianco" , G470 + 'Over View'!$B$4, IF(B470 = "Giallo" , G470 + 'Over View'!$B$5, IF(B470 = "Blu" , G470 + 'Over View'!$B$6, IF(B470 = "Verde" , G470 + 'Over View'!$B$7, IF(B470 = "Rosso" , G470 + 'Over View'!$B$8, "Grado Non Inserito") )))))</f>
        <v>Grado Non Inserito</v>
      </c>
      <c r="I470" s="66" t="b">
        <v>0</v>
      </c>
      <c r="J470" s="71"/>
      <c r="K470" s="72"/>
      <c r="L470" s="69" t="str">
        <f t="shared" si="1"/>
        <v>off set</v>
      </c>
    </row>
    <row r="471" ht="22.5" customHeight="1">
      <c r="A471" s="59">
        <v>470.0</v>
      </c>
      <c r="B471" s="63"/>
      <c r="C471" s="74"/>
      <c r="D471" s="63"/>
      <c r="E471" s="63"/>
      <c r="F471" s="63"/>
      <c r="G471" s="65"/>
      <c r="H471" s="75" t="str">
        <f>IF(B471 = "Smile", G471 + 'Over View'!$B$3, IF(B471 = "Bianco" , G471 + 'Over View'!$B$4, IF(B471 = "Giallo" , G471 + 'Over View'!$B$5, IF(B471 = "Blu" , G471 + 'Over View'!$B$6, IF(B471 = "Verde" , G471 + 'Over View'!$B$7, IF(B471 = "Rosso" , G471 + 'Over View'!$B$8, "Grado Non Inserito") )))))</f>
        <v>Grado Non Inserito</v>
      </c>
      <c r="I471" s="66" t="b">
        <v>0</v>
      </c>
      <c r="J471" s="71"/>
      <c r="K471" s="72"/>
      <c r="L471" s="69" t="str">
        <f t="shared" si="1"/>
        <v>off set</v>
      </c>
    </row>
    <row r="472" ht="22.5" customHeight="1">
      <c r="A472" s="59">
        <v>471.0</v>
      </c>
      <c r="B472" s="63"/>
      <c r="C472" s="74"/>
      <c r="D472" s="63"/>
      <c r="E472" s="63"/>
      <c r="F472" s="63"/>
      <c r="G472" s="65"/>
      <c r="H472" s="75" t="str">
        <f>IF(B472 = "Smile", G472 + 'Over View'!$B$3, IF(B472 = "Bianco" , G472 + 'Over View'!$B$4, IF(B472 = "Giallo" , G472 + 'Over View'!$B$5, IF(B472 = "Blu" , G472 + 'Over View'!$B$6, IF(B472 = "Verde" , G472 + 'Over View'!$B$7, IF(B472 = "Rosso" , G472 + 'Over View'!$B$8, "Grado Non Inserito") )))))</f>
        <v>Grado Non Inserito</v>
      </c>
      <c r="I472" s="66" t="b">
        <v>0</v>
      </c>
      <c r="J472" s="71"/>
      <c r="K472" s="72"/>
      <c r="L472" s="69" t="str">
        <f t="shared" si="1"/>
        <v>off set</v>
      </c>
    </row>
    <row r="473" ht="22.5" customHeight="1">
      <c r="A473" s="59">
        <v>472.0</v>
      </c>
      <c r="B473" s="63"/>
      <c r="C473" s="74"/>
      <c r="D473" s="63"/>
      <c r="E473" s="63"/>
      <c r="F473" s="63"/>
      <c r="G473" s="65"/>
      <c r="H473" s="75" t="str">
        <f>IF(B473 = "Smile", G473 + 'Over View'!$B$3, IF(B473 = "Bianco" , G473 + 'Over View'!$B$4, IF(B473 = "Giallo" , G473 + 'Over View'!$B$5, IF(B473 = "Blu" , G473 + 'Over View'!$B$6, IF(B473 = "Verde" , G473 + 'Over View'!$B$7, IF(B473 = "Rosso" , G473 + 'Over View'!$B$8, "Grado Non Inserito") )))))</f>
        <v>Grado Non Inserito</v>
      </c>
      <c r="I473" s="66" t="b">
        <v>0</v>
      </c>
      <c r="J473" s="71"/>
      <c r="K473" s="72"/>
      <c r="L473" s="69" t="str">
        <f t="shared" si="1"/>
        <v>off set</v>
      </c>
    </row>
    <row r="474" ht="22.5" customHeight="1">
      <c r="A474" s="59">
        <v>473.0</v>
      </c>
      <c r="B474" s="63"/>
      <c r="C474" s="74"/>
      <c r="D474" s="63"/>
      <c r="E474" s="63"/>
      <c r="F474" s="63"/>
      <c r="G474" s="65"/>
      <c r="H474" s="75" t="str">
        <f>IF(B474 = "Smile", G474 + 'Over View'!$B$3, IF(B474 = "Bianco" , G474 + 'Over View'!$B$4, IF(B474 = "Giallo" , G474 + 'Over View'!$B$5, IF(B474 = "Blu" , G474 + 'Over View'!$B$6, IF(B474 = "Verde" , G474 + 'Over View'!$B$7, IF(B474 = "Rosso" , G474 + 'Over View'!$B$8, "Grado Non Inserito") )))))</f>
        <v>Grado Non Inserito</v>
      </c>
      <c r="I474" s="66" t="b">
        <v>0</v>
      </c>
      <c r="J474" s="71"/>
      <c r="K474" s="72"/>
      <c r="L474" s="69" t="str">
        <f t="shared" si="1"/>
        <v>off set</v>
      </c>
    </row>
    <row r="475" ht="22.5" customHeight="1">
      <c r="A475" s="59">
        <v>474.0</v>
      </c>
      <c r="B475" s="63"/>
      <c r="C475" s="74"/>
      <c r="D475" s="63"/>
      <c r="E475" s="63"/>
      <c r="F475" s="63"/>
      <c r="G475" s="65"/>
      <c r="H475" s="75" t="str">
        <f>IF(B475 = "Smile", G475 + 'Over View'!$B$3, IF(B475 = "Bianco" , G475 + 'Over View'!$B$4, IF(B475 = "Giallo" , G475 + 'Over View'!$B$5, IF(B475 = "Blu" , G475 + 'Over View'!$B$6, IF(B475 = "Verde" , G475 + 'Over View'!$B$7, IF(B475 = "Rosso" , G475 + 'Over View'!$B$8, "Grado Non Inserito") )))))</f>
        <v>Grado Non Inserito</v>
      </c>
      <c r="I475" s="66" t="b">
        <v>0</v>
      </c>
      <c r="J475" s="71"/>
      <c r="K475" s="72"/>
      <c r="L475" s="69" t="str">
        <f t="shared" si="1"/>
        <v>off set</v>
      </c>
    </row>
    <row r="476" ht="22.5" customHeight="1">
      <c r="A476" s="59">
        <v>475.0</v>
      </c>
      <c r="B476" s="63"/>
      <c r="C476" s="74"/>
      <c r="D476" s="63"/>
      <c r="E476" s="63"/>
      <c r="F476" s="63"/>
      <c r="G476" s="65"/>
      <c r="H476" s="75" t="str">
        <f>IF(B476 = "Smile", G476 + 'Over View'!$B$3, IF(B476 = "Bianco" , G476 + 'Over View'!$B$4, IF(B476 = "Giallo" , G476 + 'Over View'!$B$5, IF(B476 = "Blu" , G476 + 'Over View'!$B$6, IF(B476 = "Verde" , G476 + 'Over View'!$B$7, IF(B476 = "Rosso" , G476 + 'Over View'!$B$8, "Grado Non Inserito") )))))</f>
        <v>Grado Non Inserito</v>
      </c>
      <c r="I476" s="66" t="b">
        <v>0</v>
      </c>
      <c r="J476" s="71"/>
      <c r="K476" s="72"/>
      <c r="L476" s="69" t="str">
        <f t="shared" si="1"/>
        <v>off set</v>
      </c>
    </row>
    <row r="477" ht="22.5" customHeight="1">
      <c r="A477" s="59">
        <v>476.0</v>
      </c>
      <c r="B477" s="63"/>
      <c r="C477" s="74"/>
      <c r="D477" s="63"/>
      <c r="E477" s="63"/>
      <c r="F477" s="63"/>
      <c r="G477" s="65"/>
      <c r="H477" s="75" t="str">
        <f>IF(B477 = "Smile", G477 + 'Over View'!$B$3, IF(B477 = "Bianco" , G477 + 'Over View'!$B$4, IF(B477 = "Giallo" , G477 + 'Over View'!$B$5, IF(B477 = "Blu" , G477 + 'Over View'!$B$6, IF(B477 = "Verde" , G477 + 'Over View'!$B$7, IF(B477 = "Rosso" , G477 + 'Over View'!$B$8, "Grado Non Inserito") )))))</f>
        <v>Grado Non Inserito</v>
      </c>
      <c r="I477" s="66" t="b">
        <v>0</v>
      </c>
      <c r="J477" s="71"/>
      <c r="K477" s="72"/>
      <c r="L477" s="69" t="str">
        <f t="shared" si="1"/>
        <v>off set</v>
      </c>
    </row>
    <row r="478" ht="22.5" customHeight="1">
      <c r="A478" s="59">
        <v>477.0</v>
      </c>
      <c r="B478" s="63"/>
      <c r="C478" s="74"/>
      <c r="D478" s="63"/>
      <c r="E478" s="63"/>
      <c r="F478" s="63"/>
      <c r="G478" s="65"/>
      <c r="H478" s="75" t="str">
        <f>IF(B478 = "Smile", G478 + 'Over View'!$B$3, IF(B478 = "Bianco" , G478 + 'Over View'!$B$4, IF(B478 = "Giallo" , G478 + 'Over View'!$B$5, IF(B478 = "Blu" , G478 + 'Over View'!$B$6, IF(B478 = "Verde" , G478 + 'Over View'!$B$7, IF(B478 = "Rosso" , G478 + 'Over View'!$B$8, "Grado Non Inserito") )))))</f>
        <v>Grado Non Inserito</v>
      </c>
      <c r="I478" s="66" t="b">
        <v>0</v>
      </c>
      <c r="J478" s="71"/>
      <c r="K478" s="72"/>
      <c r="L478" s="69" t="str">
        <f t="shared" si="1"/>
        <v>off set</v>
      </c>
    </row>
    <row r="479" ht="22.5" customHeight="1">
      <c r="A479" s="59">
        <v>478.0</v>
      </c>
      <c r="B479" s="63"/>
      <c r="C479" s="74"/>
      <c r="D479" s="63"/>
      <c r="E479" s="63"/>
      <c r="F479" s="63"/>
      <c r="G479" s="65"/>
      <c r="H479" s="75" t="str">
        <f>IF(B479 = "Smile", G479 + 'Over View'!$B$3, IF(B479 = "Bianco" , G479 + 'Over View'!$B$4, IF(B479 = "Giallo" , G479 + 'Over View'!$B$5, IF(B479 = "Blu" , G479 + 'Over View'!$B$6, IF(B479 = "Verde" , G479 + 'Over View'!$B$7, IF(B479 = "Rosso" , G479 + 'Over View'!$B$8, "Grado Non Inserito") )))))</f>
        <v>Grado Non Inserito</v>
      </c>
      <c r="I479" s="66" t="b">
        <v>0</v>
      </c>
      <c r="J479" s="71"/>
      <c r="K479" s="72"/>
      <c r="L479" s="69" t="str">
        <f t="shared" si="1"/>
        <v>off set</v>
      </c>
    </row>
    <row r="480" ht="22.5" customHeight="1">
      <c r="A480" s="59">
        <v>479.0</v>
      </c>
      <c r="B480" s="63"/>
      <c r="C480" s="74"/>
      <c r="D480" s="63"/>
      <c r="E480" s="63"/>
      <c r="F480" s="63"/>
      <c r="G480" s="65"/>
      <c r="H480" s="75" t="str">
        <f>IF(B480 = "Smile", G480 + 'Over View'!$B$3, IF(B480 = "Bianco" , G480 + 'Over View'!$B$4, IF(B480 = "Giallo" , G480 + 'Over View'!$B$5, IF(B480 = "Blu" , G480 + 'Over View'!$B$6, IF(B480 = "Verde" , G480 + 'Over View'!$B$7, IF(B480 = "Rosso" , G480 + 'Over View'!$B$8, "Grado Non Inserito") )))))</f>
        <v>Grado Non Inserito</v>
      </c>
      <c r="I480" s="66" t="b">
        <v>0</v>
      </c>
      <c r="J480" s="71"/>
      <c r="K480" s="72"/>
      <c r="L480" s="69" t="str">
        <f t="shared" si="1"/>
        <v>off set</v>
      </c>
    </row>
    <row r="481" ht="22.5" customHeight="1">
      <c r="A481" s="59">
        <v>480.0</v>
      </c>
      <c r="B481" s="63"/>
      <c r="C481" s="74"/>
      <c r="D481" s="63"/>
      <c r="E481" s="63"/>
      <c r="F481" s="63"/>
      <c r="G481" s="65"/>
      <c r="H481" s="75" t="str">
        <f>IF(B481 = "Smile", G481 + 'Over View'!$B$3, IF(B481 = "Bianco" , G481 + 'Over View'!$B$4, IF(B481 = "Giallo" , G481 + 'Over View'!$B$5, IF(B481 = "Blu" , G481 + 'Over View'!$B$6, IF(B481 = "Verde" , G481 + 'Over View'!$B$7, IF(B481 = "Rosso" , G481 + 'Over View'!$B$8, "Grado Non Inserito") )))))</f>
        <v>Grado Non Inserito</v>
      </c>
      <c r="I481" s="66" t="b">
        <v>0</v>
      </c>
      <c r="J481" s="71"/>
      <c r="K481" s="72"/>
      <c r="L481" s="69" t="str">
        <f t="shared" si="1"/>
        <v>off set</v>
      </c>
    </row>
    <row r="482" ht="22.5" customHeight="1">
      <c r="A482" s="59">
        <v>481.0</v>
      </c>
      <c r="B482" s="63"/>
      <c r="C482" s="74"/>
      <c r="D482" s="63"/>
      <c r="E482" s="63"/>
      <c r="F482" s="63"/>
      <c r="G482" s="65"/>
      <c r="H482" s="75" t="str">
        <f>IF(B482 = "Smile", G482 + 'Over View'!$B$3, IF(B482 = "Bianco" , G482 + 'Over View'!$B$4, IF(B482 = "Giallo" , G482 + 'Over View'!$B$5, IF(B482 = "Blu" , G482 + 'Over View'!$B$6, IF(B482 = "Verde" , G482 + 'Over View'!$B$7, IF(B482 = "Rosso" , G482 + 'Over View'!$B$8, "Grado Non Inserito") )))))</f>
        <v>Grado Non Inserito</v>
      </c>
      <c r="I482" s="66" t="b">
        <v>0</v>
      </c>
      <c r="J482" s="71"/>
      <c r="K482" s="72"/>
      <c r="L482" s="69" t="str">
        <f t="shared" si="1"/>
        <v>off set</v>
      </c>
    </row>
    <row r="483" ht="22.5" customHeight="1">
      <c r="A483" s="59">
        <v>482.0</v>
      </c>
      <c r="B483" s="63"/>
      <c r="C483" s="74"/>
      <c r="D483" s="63"/>
      <c r="E483" s="63"/>
      <c r="F483" s="63"/>
      <c r="G483" s="65"/>
      <c r="H483" s="75" t="str">
        <f>IF(B483 = "Smile", G483 + 'Over View'!$B$3, IF(B483 = "Bianco" , G483 + 'Over View'!$B$4, IF(B483 = "Giallo" , G483 + 'Over View'!$B$5, IF(B483 = "Blu" , G483 + 'Over View'!$B$6, IF(B483 = "Verde" , G483 + 'Over View'!$B$7, IF(B483 = "Rosso" , G483 + 'Over View'!$B$8, "Grado Non Inserito") )))))</f>
        <v>Grado Non Inserito</v>
      </c>
      <c r="I483" s="66" t="b">
        <v>0</v>
      </c>
      <c r="J483" s="71"/>
      <c r="K483" s="72"/>
      <c r="L483" s="69" t="str">
        <f t="shared" si="1"/>
        <v>off set</v>
      </c>
    </row>
    <row r="484" ht="22.5" customHeight="1">
      <c r="A484" s="59">
        <v>483.0</v>
      </c>
      <c r="B484" s="63"/>
      <c r="C484" s="74"/>
      <c r="D484" s="63"/>
      <c r="E484" s="63"/>
      <c r="F484" s="63"/>
      <c r="G484" s="65"/>
      <c r="H484" s="75" t="str">
        <f>IF(B484 = "Smile", G484 + 'Over View'!$B$3, IF(B484 = "Bianco" , G484 + 'Over View'!$B$4, IF(B484 = "Giallo" , G484 + 'Over View'!$B$5, IF(B484 = "Blu" , G484 + 'Over View'!$B$6, IF(B484 = "Verde" , G484 + 'Over View'!$B$7, IF(B484 = "Rosso" , G484 + 'Over View'!$B$8, "Grado Non Inserito") )))))</f>
        <v>Grado Non Inserito</v>
      </c>
      <c r="I484" s="66" t="b">
        <v>0</v>
      </c>
      <c r="J484" s="71"/>
      <c r="K484" s="72"/>
      <c r="L484" s="69" t="str">
        <f t="shared" si="1"/>
        <v>off set</v>
      </c>
    </row>
    <row r="485" ht="22.5" customHeight="1">
      <c r="A485" s="59">
        <v>484.0</v>
      </c>
      <c r="B485" s="63"/>
      <c r="C485" s="74"/>
      <c r="D485" s="63"/>
      <c r="E485" s="63"/>
      <c r="F485" s="63"/>
      <c r="G485" s="65"/>
      <c r="H485" s="75" t="str">
        <f>IF(B485 = "Smile", G485 + 'Over View'!$B$3, IF(B485 = "Bianco" , G485 + 'Over View'!$B$4, IF(B485 = "Giallo" , G485 + 'Over View'!$B$5, IF(B485 = "Blu" , G485 + 'Over View'!$B$6, IF(B485 = "Verde" , G485 + 'Over View'!$B$7, IF(B485 = "Rosso" , G485 + 'Over View'!$B$8, "Grado Non Inserito") )))))</f>
        <v>Grado Non Inserito</v>
      </c>
      <c r="I485" s="66" t="b">
        <v>0</v>
      </c>
      <c r="J485" s="71"/>
      <c r="K485" s="72"/>
      <c r="L485" s="69" t="str">
        <f t="shared" si="1"/>
        <v>off set</v>
      </c>
    </row>
    <row r="486" ht="22.5" customHeight="1">
      <c r="A486" s="59">
        <v>485.0</v>
      </c>
      <c r="B486" s="63"/>
      <c r="C486" s="74"/>
      <c r="D486" s="63"/>
      <c r="E486" s="63"/>
      <c r="F486" s="63"/>
      <c r="G486" s="65"/>
      <c r="H486" s="75" t="str">
        <f>IF(B486 = "Smile", G486 + 'Over View'!$B$3, IF(B486 = "Bianco" , G486 + 'Over View'!$B$4, IF(B486 = "Giallo" , G486 + 'Over View'!$B$5, IF(B486 = "Blu" , G486 + 'Over View'!$B$6, IF(B486 = "Verde" , G486 + 'Over View'!$B$7, IF(B486 = "Rosso" , G486 + 'Over View'!$B$8, "Grado Non Inserito") )))))</f>
        <v>Grado Non Inserito</v>
      </c>
      <c r="I486" s="66" t="b">
        <v>0</v>
      </c>
      <c r="J486" s="71"/>
      <c r="K486" s="72"/>
      <c r="L486" s="69" t="str">
        <f t="shared" si="1"/>
        <v>off set</v>
      </c>
    </row>
    <row r="487" ht="22.5" customHeight="1">
      <c r="A487" s="59">
        <v>486.0</v>
      </c>
      <c r="B487" s="63"/>
      <c r="C487" s="74"/>
      <c r="D487" s="63"/>
      <c r="E487" s="63"/>
      <c r="F487" s="63"/>
      <c r="G487" s="65"/>
      <c r="H487" s="75" t="str">
        <f>IF(B487 = "Smile", G487 + 'Over View'!$B$3, IF(B487 = "Bianco" , G487 + 'Over View'!$B$4, IF(B487 = "Giallo" , G487 + 'Over View'!$B$5, IF(B487 = "Blu" , G487 + 'Over View'!$B$6, IF(B487 = "Verde" , G487 + 'Over View'!$B$7, IF(B487 = "Rosso" , G487 + 'Over View'!$B$8, "Grado Non Inserito") )))))</f>
        <v>Grado Non Inserito</v>
      </c>
      <c r="I487" s="66" t="b">
        <v>0</v>
      </c>
      <c r="J487" s="71"/>
      <c r="K487" s="72"/>
      <c r="L487" s="69" t="str">
        <f t="shared" si="1"/>
        <v>off set</v>
      </c>
    </row>
    <row r="488" ht="22.5" customHeight="1">
      <c r="A488" s="59">
        <v>487.0</v>
      </c>
      <c r="B488" s="63"/>
      <c r="C488" s="74"/>
      <c r="D488" s="63"/>
      <c r="E488" s="63"/>
      <c r="F488" s="63"/>
      <c r="G488" s="65"/>
      <c r="H488" s="75" t="str">
        <f>IF(B488 = "Smile", G488 + 'Over View'!$B$3, IF(B488 = "Bianco" , G488 + 'Over View'!$B$4, IF(B488 = "Giallo" , G488 + 'Over View'!$B$5, IF(B488 = "Blu" , G488 + 'Over View'!$B$6, IF(B488 = "Verde" , G488 + 'Over View'!$B$7, IF(B488 = "Rosso" , G488 + 'Over View'!$B$8, "Grado Non Inserito") )))))</f>
        <v>Grado Non Inserito</v>
      </c>
      <c r="I488" s="66" t="b">
        <v>0</v>
      </c>
      <c r="J488" s="71"/>
      <c r="K488" s="72"/>
      <c r="L488" s="69" t="str">
        <f t="shared" si="1"/>
        <v>off set</v>
      </c>
    </row>
    <row r="489" ht="22.5" customHeight="1">
      <c r="A489" s="59">
        <v>488.0</v>
      </c>
      <c r="B489" s="63"/>
      <c r="C489" s="74"/>
      <c r="D489" s="63"/>
      <c r="E489" s="63"/>
      <c r="F489" s="63"/>
      <c r="G489" s="65"/>
      <c r="H489" s="75" t="str">
        <f>IF(B489 = "Smile", G489 + 'Over View'!$B$3, IF(B489 = "Bianco" , G489 + 'Over View'!$B$4, IF(B489 = "Giallo" , G489 + 'Over View'!$B$5, IF(B489 = "Blu" , G489 + 'Over View'!$B$6, IF(B489 = "Verde" , G489 + 'Over View'!$B$7, IF(B489 = "Rosso" , G489 + 'Over View'!$B$8, "Grado Non Inserito") )))))</f>
        <v>Grado Non Inserito</v>
      </c>
      <c r="I489" s="66" t="b">
        <v>0</v>
      </c>
      <c r="J489" s="71"/>
      <c r="K489" s="72"/>
      <c r="L489" s="69" t="str">
        <f t="shared" si="1"/>
        <v>off set</v>
      </c>
    </row>
    <row r="490" ht="22.5" customHeight="1">
      <c r="A490" s="59">
        <v>489.0</v>
      </c>
      <c r="B490" s="63"/>
      <c r="C490" s="74"/>
      <c r="D490" s="63"/>
      <c r="E490" s="63"/>
      <c r="F490" s="63"/>
      <c r="G490" s="65"/>
      <c r="H490" s="75" t="str">
        <f>IF(B490 = "Smile", G490 + 'Over View'!$B$3, IF(B490 = "Bianco" , G490 + 'Over View'!$B$4, IF(B490 = "Giallo" , G490 + 'Over View'!$B$5, IF(B490 = "Blu" , G490 + 'Over View'!$B$6, IF(B490 = "Verde" , G490 + 'Over View'!$B$7, IF(B490 = "Rosso" , G490 + 'Over View'!$B$8, "Grado Non Inserito") )))))</f>
        <v>Grado Non Inserito</v>
      </c>
      <c r="I490" s="66" t="b">
        <v>0</v>
      </c>
      <c r="J490" s="71"/>
      <c r="K490" s="72"/>
      <c r="L490" s="69" t="str">
        <f t="shared" si="1"/>
        <v>off set</v>
      </c>
    </row>
    <row r="491" ht="22.5" customHeight="1">
      <c r="A491" s="59">
        <v>490.0</v>
      </c>
      <c r="B491" s="63"/>
      <c r="C491" s="74"/>
      <c r="D491" s="63"/>
      <c r="E491" s="63"/>
      <c r="F491" s="63"/>
      <c r="G491" s="65"/>
      <c r="H491" s="75" t="str">
        <f>IF(B491 = "Smile", G491 + 'Over View'!$B$3, IF(B491 = "Bianco" , G491 + 'Over View'!$B$4, IF(B491 = "Giallo" , G491 + 'Over View'!$B$5, IF(B491 = "Blu" , G491 + 'Over View'!$B$6, IF(B491 = "Verde" , G491 + 'Over View'!$B$7, IF(B491 = "Rosso" , G491 + 'Over View'!$B$8, "Grado Non Inserito") )))))</f>
        <v>Grado Non Inserito</v>
      </c>
      <c r="I491" s="66" t="b">
        <v>0</v>
      </c>
      <c r="J491" s="71"/>
      <c r="K491" s="72"/>
      <c r="L491" s="69" t="str">
        <f t="shared" si="1"/>
        <v>off set</v>
      </c>
    </row>
    <row r="492" ht="22.5" customHeight="1">
      <c r="A492" s="59">
        <v>491.0</v>
      </c>
      <c r="B492" s="63"/>
      <c r="C492" s="74"/>
      <c r="D492" s="63"/>
      <c r="E492" s="63"/>
      <c r="F492" s="63"/>
      <c r="G492" s="65"/>
      <c r="H492" s="75" t="str">
        <f>IF(B492 = "Smile", G492 + 'Over View'!$B$3, IF(B492 = "Bianco" , G492 + 'Over View'!$B$4, IF(B492 = "Giallo" , G492 + 'Over View'!$B$5, IF(B492 = "Blu" , G492 + 'Over View'!$B$6, IF(B492 = "Verde" , G492 + 'Over View'!$B$7, IF(B492 = "Rosso" , G492 + 'Over View'!$B$8, "Grado Non Inserito") )))))</f>
        <v>Grado Non Inserito</v>
      </c>
      <c r="I492" s="66" t="b">
        <v>0</v>
      </c>
      <c r="J492" s="71"/>
      <c r="K492" s="72"/>
      <c r="L492" s="69" t="str">
        <f t="shared" si="1"/>
        <v>off set</v>
      </c>
    </row>
    <row r="493" ht="22.5" customHeight="1">
      <c r="A493" s="59">
        <v>492.0</v>
      </c>
      <c r="B493" s="63"/>
      <c r="C493" s="74"/>
      <c r="D493" s="63"/>
      <c r="E493" s="63"/>
      <c r="F493" s="63"/>
      <c r="G493" s="65"/>
      <c r="H493" s="75" t="str">
        <f>IF(B493 = "Smile", G493 + 'Over View'!$B$3, IF(B493 = "Bianco" , G493 + 'Over View'!$B$4, IF(B493 = "Giallo" , G493 + 'Over View'!$B$5, IF(B493 = "Blu" , G493 + 'Over View'!$B$6, IF(B493 = "Verde" , G493 + 'Over View'!$B$7, IF(B493 = "Rosso" , G493 + 'Over View'!$B$8, "Grado Non Inserito") )))))</f>
        <v>Grado Non Inserito</v>
      </c>
      <c r="I493" s="66" t="b">
        <v>0</v>
      </c>
      <c r="J493" s="71"/>
      <c r="K493" s="72"/>
      <c r="L493" s="69" t="str">
        <f t="shared" si="1"/>
        <v>off set</v>
      </c>
    </row>
    <row r="494" ht="22.5" customHeight="1">
      <c r="A494" s="59">
        <v>493.0</v>
      </c>
      <c r="B494" s="63"/>
      <c r="C494" s="74"/>
      <c r="D494" s="63"/>
      <c r="E494" s="63"/>
      <c r="F494" s="63"/>
      <c r="G494" s="65"/>
      <c r="H494" s="75" t="str">
        <f>IF(B494 = "Smile", G494 + 'Over View'!$B$3, IF(B494 = "Bianco" , G494 + 'Over View'!$B$4, IF(B494 = "Giallo" , G494 + 'Over View'!$B$5, IF(B494 = "Blu" , G494 + 'Over View'!$B$6, IF(B494 = "Verde" , G494 + 'Over View'!$B$7, IF(B494 = "Rosso" , G494 + 'Over View'!$B$8, "Grado Non Inserito") )))))</f>
        <v>Grado Non Inserito</v>
      </c>
      <c r="I494" s="66" t="b">
        <v>0</v>
      </c>
      <c r="J494" s="71"/>
      <c r="K494" s="72"/>
      <c r="L494" s="69" t="str">
        <f t="shared" si="1"/>
        <v>off set</v>
      </c>
    </row>
    <row r="495" ht="22.5" customHeight="1">
      <c r="A495" s="59">
        <v>494.0</v>
      </c>
      <c r="B495" s="63"/>
      <c r="C495" s="74"/>
      <c r="D495" s="63"/>
      <c r="E495" s="63"/>
      <c r="F495" s="63"/>
      <c r="G495" s="65"/>
      <c r="H495" s="75" t="str">
        <f>IF(B495 = "Smile", G495 + 'Over View'!$B$3, IF(B495 = "Bianco" , G495 + 'Over View'!$B$4, IF(B495 = "Giallo" , G495 + 'Over View'!$B$5, IF(B495 = "Blu" , G495 + 'Over View'!$B$6, IF(B495 = "Verde" , G495 + 'Over View'!$B$7, IF(B495 = "Rosso" , G495 + 'Over View'!$B$8, "Grado Non Inserito") )))))</f>
        <v>Grado Non Inserito</v>
      </c>
      <c r="I495" s="66" t="b">
        <v>0</v>
      </c>
      <c r="J495" s="71"/>
      <c r="K495" s="72"/>
      <c r="L495" s="69" t="str">
        <f t="shared" si="1"/>
        <v>off set</v>
      </c>
    </row>
    <row r="496" ht="22.5" customHeight="1">
      <c r="A496" s="59">
        <v>495.0</v>
      </c>
      <c r="B496" s="63"/>
      <c r="C496" s="74"/>
      <c r="D496" s="63"/>
      <c r="E496" s="63"/>
      <c r="F496" s="63"/>
      <c r="G496" s="65"/>
      <c r="H496" s="75" t="str">
        <f>IF(B496 = "Smile", G496 + 'Over View'!$B$3, IF(B496 = "Bianco" , G496 + 'Over View'!$B$4, IF(B496 = "Giallo" , G496 + 'Over View'!$B$5, IF(B496 = "Blu" , G496 + 'Over View'!$B$6, IF(B496 = "Verde" , G496 + 'Over View'!$B$7, IF(B496 = "Rosso" , G496 + 'Over View'!$B$8, "Grado Non Inserito") )))))</f>
        <v>Grado Non Inserito</v>
      </c>
      <c r="I496" s="66" t="b">
        <v>0</v>
      </c>
      <c r="J496" s="71"/>
      <c r="K496" s="72"/>
      <c r="L496" s="69" t="str">
        <f t="shared" si="1"/>
        <v>off set</v>
      </c>
    </row>
    <row r="497" ht="22.5" customHeight="1">
      <c r="A497" s="59">
        <v>496.0</v>
      </c>
      <c r="B497" s="63"/>
      <c r="C497" s="74"/>
      <c r="D497" s="63"/>
      <c r="E497" s="63"/>
      <c r="F497" s="63"/>
      <c r="G497" s="65"/>
      <c r="H497" s="75" t="str">
        <f>IF(B497 = "Smile", G497 + 'Over View'!$B$3, IF(B497 = "Bianco" , G497 + 'Over View'!$B$4, IF(B497 = "Giallo" , G497 + 'Over View'!$B$5, IF(B497 = "Blu" , G497 + 'Over View'!$B$6, IF(B497 = "Verde" , G497 + 'Over View'!$B$7, IF(B497 = "Rosso" , G497 + 'Over View'!$B$8, "Grado Non Inserito") )))))</f>
        <v>Grado Non Inserito</v>
      </c>
      <c r="I497" s="66" t="b">
        <v>0</v>
      </c>
      <c r="J497" s="71"/>
      <c r="K497" s="72"/>
      <c r="L497" s="69" t="str">
        <f t="shared" si="1"/>
        <v>off set</v>
      </c>
    </row>
    <row r="498" ht="22.5" customHeight="1">
      <c r="A498" s="59">
        <v>497.0</v>
      </c>
      <c r="B498" s="63"/>
      <c r="C498" s="74"/>
      <c r="D498" s="63"/>
      <c r="E498" s="63"/>
      <c r="F498" s="63"/>
      <c r="G498" s="65"/>
      <c r="H498" s="75" t="str">
        <f>IF(B498 = "Smile", G498 + 'Over View'!$B$3, IF(B498 = "Bianco" , G498 + 'Over View'!$B$4, IF(B498 = "Giallo" , G498 + 'Over View'!$B$5, IF(B498 = "Blu" , G498 + 'Over View'!$B$6, IF(B498 = "Verde" , G498 + 'Over View'!$B$7, IF(B498 = "Rosso" , G498 + 'Over View'!$B$8, "Grado Non Inserito") )))))</f>
        <v>Grado Non Inserito</v>
      </c>
      <c r="I498" s="66" t="b">
        <v>0</v>
      </c>
      <c r="J498" s="71"/>
      <c r="K498" s="72"/>
      <c r="L498" s="69" t="str">
        <f t="shared" si="1"/>
        <v>off set</v>
      </c>
    </row>
    <row r="499" ht="22.5" customHeight="1">
      <c r="A499" s="59">
        <v>498.0</v>
      </c>
      <c r="B499" s="63"/>
      <c r="C499" s="74"/>
      <c r="D499" s="63"/>
      <c r="E499" s="63"/>
      <c r="F499" s="63"/>
      <c r="G499" s="65"/>
      <c r="H499" s="75" t="str">
        <f>IF(B499 = "Smile", G499 + 'Over View'!$B$3, IF(B499 = "Bianco" , G499 + 'Over View'!$B$4, IF(B499 = "Giallo" , G499 + 'Over View'!$B$5, IF(B499 = "Blu" , G499 + 'Over View'!$B$6, IF(B499 = "Verde" , G499 + 'Over View'!$B$7, IF(B499 = "Rosso" , G499 + 'Over View'!$B$8, "Grado Non Inserito") )))))</f>
        <v>Grado Non Inserito</v>
      </c>
      <c r="I499" s="66" t="b">
        <v>0</v>
      </c>
      <c r="J499" s="71"/>
      <c r="K499" s="72"/>
      <c r="L499" s="69" t="str">
        <f t="shared" si="1"/>
        <v>off set</v>
      </c>
    </row>
    <row r="500" ht="22.5" customHeight="1">
      <c r="A500" s="59">
        <v>499.0</v>
      </c>
      <c r="B500" s="63"/>
      <c r="C500" s="74"/>
      <c r="D500" s="63"/>
      <c r="E500" s="63"/>
      <c r="F500" s="63"/>
      <c r="G500" s="65"/>
      <c r="H500" s="75" t="str">
        <f>IF(B500 = "Smile", G500 + 'Over View'!$B$3, IF(B500 = "Bianco" , G500 + 'Over View'!$B$4, IF(B500 = "Giallo" , G500 + 'Over View'!$B$5, IF(B500 = "Blu" , G500 + 'Over View'!$B$6, IF(B500 = "Verde" , G500 + 'Over View'!$B$7, IF(B500 = "Rosso" , G500 + 'Over View'!$B$8, "Grado Non Inserito") )))))</f>
        <v>Grado Non Inserito</v>
      </c>
      <c r="I500" s="66" t="b">
        <v>0</v>
      </c>
      <c r="J500" s="71"/>
      <c r="K500" s="72"/>
      <c r="L500" s="69" t="str">
        <f t="shared" si="1"/>
        <v>off set</v>
      </c>
    </row>
    <row r="501" ht="22.5" customHeight="1">
      <c r="A501" s="59">
        <v>500.0</v>
      </c>
      <c r="B501" s="63"/>
      <c r="C501" s="74"/>
      <c r="D501" s="63"/>
      <c r="E501" s="63"/>
      <c r="F501" s="63"/>
      <c r="G501" s="65"/>
      <c r="H501" s="75" t="str">
        <f>IF(B501 = "Smile", G501 + 'Over View'!$B$3, IF(B501 = "Bianco" , G501 + 'Over View'!$B$4, IF(B501 = "Giallo" , G501 + 'Over View'!$B$5, IF(B501 = "Blu" , G501 + 'Over View'!$B$6, IF(B501 = "Verde" , G501 + 'Over View'!$B$7, IF(B501 = "Rosso" , G501 + 'Over View'!$B$8, "Grado Non Inserito") )))))</f>
        <v>Grado Non Inserito</v>
      </c>
      <c r="I501" s="66" t="b">
        <v>0</v>
      </c>
      <c r="J501" s="71"/>
      <c r="K501" s="72"/>
      <c r="L501" s="69" t="str">
        <f t="shared" si="1"/>
        <v>off set</v>
      </c>
    </row>
    <row r="502">
      <c r="C502" s="12"/>
      <c r="D502" s="12"/>
      <c r="I502" s="11"/>
    </row>
    <row r="503">
      <c r="C503" s="12"/>
      <c r="D503" s="12"/>
      <c r="I503" s="11"/>
    </row>
    <row r="504">
      <c r="C504" s="12"/>
      <c r="D504" s="12"/>
      <c r="I504" s="11"/>
    </row>
    <row r="505">
      <c r="C505" s="12"/>
      <c r="D505" s="12"/>
      <c r="I505" s="11"/>
    </row>
    <row r="506">
      <c r="C506" s="12"/>
      <c r="D506" s="12"/>
      <c r="I506" s="11"/>
    </row>
    <row r="507">
      <c r="C507" s="12"/>
      <c r="D507" s="12"/>
      <c r="I507" s="11"/>
    </row>
    <row r="508">
      <c r="C508" s="12"/>
      <c r="D508" s="12"/>
      <c r="I508" s="11"/>
    </row>
    <row r="509">
      <c r="C509" s="12"/>
      <c r="D509" s="12"/>
      <c r="I509" s="11"/>
    </row>
    <row r="510">
      <c r="C510" s="12"/>
      <c r="D510" s="12"/>
      <c r="I510" s="11"/>
    </row>
    <row r="511">
      <c r="C511" s="12"/>
      <c r="D511" s="12"/>
      <c r="I511" s="11"/>
    </row>
    <row r="512">
      <c r="C512" s="12"/>
      <c r="D512" s="12"/>
      <c r="I512" s="11"/>
    </row>
    <row r="513">
      <c r="C513" s="12"/>
      <c r="D513" s="12"/>
      <c r="I513" s="11"/>
    </row>
    <row r="514">
      <c r="C514" s="12"/>
      <c r="D514" s="12"/>
      <c r="I514" s="11"/>
    </row>
    <row r="515">
      <c r="C515" s="12"/>
      <c r="D515" s="12"/>
      <c r="I515" s="11"/>
    </row>
    <row r="516">
      <c r="C516" s="12"/>
      <c r="D516" s="12"/>
      <c r="I516" s="11"/>
    </row>
    <row r="517">
      <c r="C517" s="12"/>
      <c r="D517" s="12"/>
      <c r="I517" s="11"/>
    </row>
    <row r="518">
      <c r="C518" s="12"/>
      <c r="D518" s="12"/>
      <c r="I518" s="11"/>
    </row>
    <row r="519">
      <c r="C519" s="12"/>
      <c r="D519" s="12"/>
      <c r="I519" s="11"/>
    </row>
    <row r="520">
      <c r="C520" s="12"/>
      <c r="D520" s="12"/>
      <c r="I520" s="11"/>
    </row>
    <row r="521">
      <c r="C521" s="12"/>
      <c r="D521" s="12"/>
      <c r="I521" s="11"/>
    </row>
    <row r="522">
      <c r="C522" s="12"/>
      <c r="D522" s="12"/>
      <c r="I522" s="11"/>
    </row>
    <row r="523">
      <c r="C523" s="12"/>
      <c r="D523" s="12"/>
      <c r="I523" s="11"/>
    </row>
    <row r="524">
      <c r="C524" s="12"/>
      <c r="D524" s="12"/>
      <c r="I524" s="11"/>
    </row>
    <row r="525">
      <c r="C525" s="12"/>
      <c r="D525" s="12"/>
      <c r="I525" s="11"/>
    </row>
    <row r="526">
      <c r="C526" s="12"/>
      <c r="D526" s="12"/>
      <c r="I526" s="11"/>
    </row>
    <row r="527">
      <c r="C527" s="12"/>
      <c r="D527" s="12"/>
      <c r="I527" s="11"/>
    </row>
    <row r="528">
      <c r="C528" s="12"/>
      <c r="D528" s="12"/>
      <c r="I528" s="11"/>
    </row>
    <row r="529">
      <c r="C529" s="12"/>
      <c r="D529" s="12"/>
      <c r="I529" s="11"/>
    </row>
    <row r="530">
      <c r="C530" s="12"/>
      <c r="D530" s="12"/>
      <c r="I530" s="11"/>
    </row>
    <row r="531">
      <c r="C531" s="12"/>
      <c r="D531" s="12"/>
      <c r="I531" s="11"/>
    </row>
    <row r="532">
      <c r="C532" s="12"/>
      <c r="D532" s="12"/>
      <c r="I532" s="11"/>
    </row>
    <row r="533">
      <c r="C533" s="12"/>
      <c r="D533" s="12"/>
      <c r="I533" s="11"/>
    </row>
    <row r="534">
      <c r="C534" s="12"/>
      <c r="D534" s="12"/>
      <c r="I534" s="11"/>
    </row>
    <row r="535">
      <c r="C535" s="12"/>
      <c r="D535" s="12"/>
      <c r="I535" s="11"/>
    </row>
    <row r="536">
      <c r="C536" s="12"/>
      <c r="D536" s="12"/>
      <c r="I536" s="11"/>
    </row>
    <row r="537">
      <c r="C537" s="12"/>
      <c r="D537" s="12"/>
      <c r="I537" s="11"/>
    </row>
    <row r="538">
      <c r="C538" s="12"/>
      <c r="D538" s="12"/>
      <c r="I538" s="11"/>
    </row>
    <row r="539">
      <c r="C539" s="12"/>
      <c r="D539" s="12"/>
      <c r="I539" s="11"/>
    </row>
    <row r="540">
      <c r="C540" s="12"/>
      <c r="D540" s="12"/>
      <c r="I540" s="11"/>
    </row>
    <row r="541">
      <c r="C541" s="12"/>
      <c r="D541" s="12"/>
      <c r="I541" s="11"/>
    </row>
    <row r="542">
      <c r="C542" s="12"/>
      <c r="D542" s="12"/>
      <c r="I542" s="11"/>
    </row>
    <row r="543">
      <c r="C543" s="12"/>
      <c r="D543" s="12"/>
      <c r="I543" s="11"/>
    </row>
    <row r="544">
      <c r="C544" s="12"/>
      <c r="D544" s="12"/>
      <c r="I544" s="11"/>
    </row>
    <row r="545">
      <c r="C545" s="12"/>
      <c r="D545" s="12"/>
      <c r="I545" s="11"/>
    </row>
    <row r="546">
      <c r="C546" s="12"/>
      <c r="D546" s="12"/>
      <c r="I546" s="11"/>
    </row>
    <row r="547">
      <c r="C547" s="12"/>
      <c r="D547" s="12"/>
      <c r="I547" s="11"/>
    </row>
    <row r="548">
      <c r="C548" s="12"/>
      <c r="D548" s="12"/>
      <c r="I548" s="11"/>
    </row>
    <row r="549">
      <c r="C549" s="12"/>
      <c r="D549" s="12"/>
      <c r="I549" s="11"/>
    </row>
    <row r="550">
      <c r="C550" s="12"/>
      <c r="D550" s="12"/>
      <c r="I550" s="11"/>
    </row>
    <row r="551">
      <c r="C551" s="12"/>
      <c r="D551" s="12"/>
      <c r="I551" s="11"/>
    </row>
    <row r="552">
      <c r="C552" s="12"/>
      <c r="D552" s="12"/>
      <c r="I552" s="11"/>
    </row>
    <row r="553">
      <c r="C553" s="12"/>
      <c r="D553" s="12"/>
      <c r="I553" s="11"/>
    </row>
    <row r="554">
      <c r="C554" s="12"/>
      <c r="D554" s="12"/>
      <c r="I554" s="11"/>
    </row>
    <row r="555">
      <c r="C555" s="12"/>
      <c r="D555" s="12"/>
      <c r="I555" s="11"/>
    </row>
    <row r="556">
      <c r="C556" s="12"/>
      <c r="D556" s="12"/>
      <c r="I556" s="11"/>
    </row>
    <row r="557">
      <c r="C557" s="12"/>
      <c r="D557" s="12"/>
      <c r="I557" s="11"/>
    </row>
    <row r="558">
      <c r="C558" s="12"/>
      <c r="D558" s="12"/>
      <c r="I558" s="11"/>
    </row>
    <row r="559">
      <c r="C559" s="12"/>
      <c r="D559" s="12"/>
      <c r="I559" s="11"/>
    </row>
    <row r="560">
      <c r="C560" s="12"/>
      <c r="D560" s="12"/>
      <c r="I560" s="11"/>
    </row>
    <row r="561">
      <c r="C561" s="12"/>
      <c r="D561" s="12"/>
      <c r="I561" s="11"/>
    </row>
    <row r="562">
      <c r="C562" s="12"/>
      <c r="D562" s="12"/>
      <c r="I562" s="11"/>
    </row>
    <row r="563">
      <c r="C563" s="12"/>
      <c r="D563" s="12"/>
      <c r="I563" s="11"/>
    </row>
    <row r="564">
      <c r="C564" s="12"/>
      <c r="D564" s="12"/>
      <c r="I564" s="11"/>
    </row>
    <row r="565">
      <c r="C565" s="12"/>
      <c r="D565" s="12"/>
      <c r="I565" s="11"/>
    </row>
    <row r="566">
      <c r="C566" s="12"/>
      <c r="D566" s="12"/>
      <c r="I566" s="11"/>
    </row>
    <row r="567">
      <c r="C567" s="12"/>
      <c r="D567" s="12"/>
      <c r="I567" s="11"/>
    </row>
    <row r="568">
      <c r="C568" s="12"/>
      <c r="D568" s="12"/>
      <c r="I568" s="11"/>
    </row>
    <row r="569">
      <c r="C569" s="12"/>
      <c r="D569" s="12"/>
      <c r="I569" s="11"/>
    </row>
    <row r="570">
      <c r="C570" s="12"/>
      <c r="D570" s="12"/>
      <c r="I570" s="11"/>
    </row>
    <row r="571">
      <c r="C571" s="12"/>
      <c r="D571" s="12"/>
      <c r="I571" s="11"/>
    </row>
    <row r="572">
      <c r="C572" s="12"/>
      <c r="D572" s="12"/>
      <c r="I572" s="11"/>
    </row>
    <row r="573">
      <c r="C573" s="12"/>
      <c r="D573" s="12"/>
      <c r="I573" s="11"/>
    </row>
    <row r="574">
      <c r="C574" s="12"/>
      <c r="D574" s="12"/>
      <c r="I574" s="11"/>
    </row>
    <row r="575">
      <c r="C575" s="12"/>
      <c r="D575" s="12"/>
      <c r="I575" s="11"/>
    </row>
    <row r="576">
      <c r="C576" s="12"/>
      <c r="D576" s="12"/>
      <c r="I576" s="11"/>
    </row>
    <row r="577">
      <c r="C577" s="12"/>
      <c r="D577" s="12"/>
      <c r="I577" s="11"/>
    </row>
    <row r="578">
      <c r="C578" s="12"/>
      <c r="D578" s="12"/>
      <c r="I578" s="11"/>
    </row>
    <row r="579">
      <c r="C579" s="12"/>
      <c r="D579" s="12"/>
      <c r="I579" s="11"/>
    </row>
    <row r="580">
      <c r="C580" s="12"/>
      <c r="D580" s="12"/>
      <c r="I580" s="11"/>
    </row>
    <row r="581">
      <c r="C581" s="12"/>
      <c r="D581" s="12"/>
      <c r="I581" s="11"/>
    </row>
    <row r="582">
      <c r="C582" s="12"/>
      <c r="D582" s="12"/>
      <c r="I582" s="11"/>
    </row>
    <row r="583">
      <c r="C583" s="12"/>
      <c r="D583" s="12"/>
      <c r="I583" s="11"/>
    </row>
    <row r="584">
      <c r="C584" s="12"/>
      <c r="D584" s="12"/>
      <c r="I584" s="11"/>
    </row>
    <row r="585">
      <c r="C585" s="12"/>
      <c r="D585" s="12"/>
      <c r="I585" s="11"/>
    </row>
    <row r="586">
      <c r="C586" s="12"/>
      <c r="D586" s="12"/>
      <c r="I586" s="11"/>
    </row>
    <row r="587">
      <c r="C587" s="12"/>
      <c r="D587" s="12"/>
      <c r="I587" s="11"/>
    </row>
    <row r="588">
      <c r="C588" s="12"/>
      <c r="D588" s="12"/>
      <c r="I588" s="11"/>
    </row>
    <row r="589">
      <c r="C589" s="12"/>
      <c r="D589" s="12"/>
      <c r="I589" s="11"/>
    </row>
    <row r="590">
      <c r="C590" s="12"/>
      <c r="D590" s="12"/>
      <c r="I590" s="11"/>
    </row>
    <row r="591">
      <c r="C591" s="12"/>
      <c r="D591" s="12"/>
      <c r="I591" s="11"/>
    </row>
    <row r="592">
      <c r="C592" s="12"/>
      <c r="D592" s="12"/>
      <c r="I592" s="11"/>
    </row>
    <row r="593">
      <c r="C593" s="12"/>
      <c r="D593" s="12"/>
      <c r="I593" s="11"/>
    </row>
    <row r="594">
      <c r="C594" s="12"/>
      <c r="D594" s="12"/>
      <c r="I594" s="11"/>
    </row>
    <row r="595">
      <c r="C595" s="12"/>
      <c r="D595" s="12"/>
      <c r="I595" s="11"/>
    </row>
    <row r="596">
      <c r="C596" s="12"/>
      <c r="D596" s="12"/>
      <c r="I596" s="11"/>
    </row>
    <row r="597">
      <c r="C597" s="12"/>
      <c r="D597" s="12"/>
      <c r="I597" s="11"/>
    </row>
    <row r="598">
      <c r="C598" s="12"/>
      <c r="D598" s="12"/>
      <c r="I598" s="11"/>
    </row>
    <row r="599">
      <c r="C599" s="12"/>
      <c r="D599" s="12"/>
      <c r="I599" s="11"/>
    </row>
    <row r="600">
      <c r="C600" s="12"/>
      <c r="D600" s="12"/>
      <c r="I600" s="11"/>
    </row>
    <row r="601">
      <c r="C601" s="12"/>
      <c r="D601" s="12"/>
      <c r="I601" s="11"/>
    </row>
    <row r="602">
      <c r="C602" s="12"/>
      <c r="D602" s="12"/>
      <c r="I602" s="11"/>
    </row>
    <row r="603">
      <c r="C603" s="12"/>
      <c r="D603" s="12"/>
      <c r="I603" s="11"/>
    </row>
    <row r="604">
      <c r="C604" s="12"/>
      <c r="D604" s="12"/>
      <c r="I604" s="11"/>
    </row>
    <row r="605">
      <c r="C605" s="12"/>
      <c r="D605" s="12"/>
      <c r="I605" s="11"/>
    </row>
    <row r="606">
      <c r="C606" s="12"/>
      <c r="D606" s="12"/>
      <c r="I606" s="11"/>
    </row>
    <row r="607">
      <c r="C607" s="12"/>
      <c r="D607" s="12"/>
      <c r="I607" s="11"/>
    </row>
    <row r="608">
      <c r="C608" s="12"/>
      <c r="D608" s="12"/>
      <c r="I608" s="11"/>
    </row>
    <row r="609">
      <c r="C609" s="12"/>
      <c r="D609" s="12"/>
      <c r="I609" s="11"/>
    </row>
    <row r="610">
      <c r="C610" s="12"/>
      <c r="D610" s="12"/>
      <c r="I610" s="11"/>
    </row>
    <row r="611">
      <c r="C611" s="12"/>
      <c r="D611" s="12"/>
      <c r="I611" s="11"/>
    </row>
    <row r="612">
      <c r="C612" s="12"/>
      <c r="D612" s="12"/>
      <c r="I612" s="11"/>
    </row>
    <row r="613">
      <c r="C613" s="12"/>
      <c r="D613" s="12"/>
      <c r="I613" s="11"/>
    </row>
    <row r="614">
      <c r="C614" s="12"/>
      <c r="D614" s="12"/>
      <c r="I614" s="11"/>
    </row>
    <row r="615">
      <c r="C615" s="12"/>
      <c r="D615" s="12"/>
      <c r="I615" s="11"/>
    </row>
    <row r="616">
      <c r="C616" s="12"/>
      <c r="D616" s="12"/>
      <c r="I616" s="11"/>
    </row>
    <row r="617">
      <c r="C617" s="12"/>
      <c r="D617" s="12"/>
      <c r="I617" s="11"/>
    </row>
    <row r="618">
      <c r="C618" s="12"/>
      <c r="D618" s="12"/>
      <c r="I618" s="11"/>
    </row>
    <row r="619">
      <c r="C619" s="12"/>
      <c r="D619" s="12"/>
      <c r="I619" s="11"/>
    </row>
    <row r="620">
      <c r="C620" s="12"/>
      <c r="D620" s="12"/>
      <c r="I620" s="11"/>
    </row>
    <row r="621">
      <c r="C621" s="12"/>
      <c r="D621" s="12"/>
      <c r="I621" s="11"/>
    </row>
    <row r="622">
      <c r="C622" s="12"/>
      <c r="D622" s="12"/>
      <c r="I622" s="11"/>
    </row>
    <row r="623">
      <c r="C623" s="12"/>
      <c r="D623" s="12"/>
      <c r="I623" s="11"/>
    </row>
    <row r="624">
      <c r="C624" s="12"/>
      <c r="D624" s="12"/>
      <c r="I624" s="11"/>
    </row>
    <row r="625">
      <c r="C625" s="12"/>
      <c r="D625" s="12"/>
      <c r="I625" s="11"/>
    </row>
    <row r="626">
      <c r="C626" s="12"/>
      <c r="D626" s="12"/>
      <c r="I626" s="11"/>
    </row>
    <row r="627">
      <c r="C627" s="12"/>
      <c r="D627" s="12"/>
      <c r="I627" s="11"/>
    </row>
    <row r="628">
      <c r="C628" s="12"/>
      <c r="D628" s="12"/>
      <c r="I628" s="11"/>
    </row>
    <row r="629">
      <c r="C629" s="12"/>
      <c r="D629" s="12"/>
      <c r="I629" s="11"/>
    </row>
    <row r="630">
      <c r="C630" s="12"/>
      <c r="D630" s="12"/>
      <c r="I630" s="11"/>
    </row>
    <row r="631">
      <c r="C631" s="12"/>
      <c r="D631" s="12"/>
      <c r="I631" s="11"/>
    </row>
    <row r="632">
      <c r="C632" s="12"/>
      <c r="D632" s="12"/>
      <c r="I632" s="11"/>
    </row>
    <row r="633">
      <c r="C633" s="12"/>
      <c r="D633" s="12"/>
      <c r="I633" s="11"/>
    </row>
    <row r="634">
      <c r="C634" s="12"/>
      <c r="D634" s="12"/>
      <c r="I634" s="11"/>
    </row>
    <row r="635">
      <c r="C635" s="12"/>
      <c r="D635" s="12"/>
      <c r="I635" s="11"/>
    </row>
    <row r="636">
      <c r="C636" s="12"/>
      <c r="D636" s="12"/>
      <c r="I636" s="11"/>
    </row>
    <row r="637">
      <c r="C637" s="12"/>
      <c r="D637" s="12"/>
      <c r="I637" s="11"/>
    </row>
    <row r="638">
      <c r="C638" s="12"/>
      <c r="D638" s="12"/>
      <c r="I638" s="11"/>
    </row>
    <row r="639">
      <c r="C639" s="12"/>
      <c r="D639" s="12"/>
      <c r="I639" s="11"/>
    </row>
    <row r="640">
      <c r="C640" s="12"/>
      <c r="D640" s="12"/>
      <c r="I640" s="11"/>
    </row>
    <row r="641">
      <c r="C641" s="12"/>
      <c r="D641" s="12"/>
      <c r="I641" s="11"/>
    </row>
    <row r="642">
      <c r="C642" s="12"/>
      <c r="D642" s="12"/>
      <c r="I642" s="11"/>
    </row>
    <row r="643">
      <c r="C643" s="12"/>
      <c r="D643" s="12"/>
      <c r="I643" s="11"/>
    </row>
    <row r="644">
      <c r="C644" s="12"/>
      <c r="D644" s="12"/>
      <c r="I644" s="11"/>
    </row>
    <row r="645">
      <c r="C645" s="12"/>
      <c r="D645" s="12"/>
      <c r="I645" s="11"/>
    </row>
    <row r="646">
      <c r="C646" s="12"/>
      <c r="D646" s="12"/>
      <c r="I646" s="11"/>
    </row>
    <row r="647">
      <c r="C647" s="12"/>
      <c r="D647" s="12"/>
      <c r="I647" s="11"/>
    </row>
    <row r="648">
      <c r="C648" s="12"/>
      <c r="D648" s="12"/>
      <c r="I648" s="11"/>
    </row>
    <row r="649">
      <c r="C649" s="12"/>
      <c r="D649" s="12"/>
      <c r="I649" s="11"/>
    </row>
    <row r="650">
      <c r="C650" s="12"/>
      <c r="D650" s="12"/>
      <c r="I650" s="11"/>
    </row>
    <row r="651">
      <c r="C651" s="12"/>
      <c r="D651" s="12"/>
      <c r="I651" s="11"/>
    </row>
    <row r="652">
      <c r="C652" s="12"/>
      <c r="D652" s="12"/>
      <c r="I652" s="11"/>
    </row>
    <row r="653">
      <c r="C653" s="12"/>
      <c r="D653" s="12"/>
      <c r="I653" s="11"/>
    </row>
    <row r="654">
      <c r="C654" s="12"/>
      <c r="D654" s="12"/>
      <c r="I654" s="11"/>
    </row>
    <row r="655">
      <c r="C655" s="12"/>
      <c r="D655" s="12"/>
      <c r="I655" s="11"/>
    </row>
    <row r="656">
      <c r="C656" s="12"/>
      <c r="D656" s="12"/>
      <c r="I656" s="11"/>
    </row>
    <row r="657">
      <c r="C657" s="12"/>
      <c r="D657" s="12"/>
      <c r="I657" s="11"/>
    </row>
    <row r="658">
      <c r="C658" s="12"/>
      <c r="D658" s="12"/>
      <c r="I658" s="11"/>
    </row>
    <row r="659">
      <c r="C659" s="12"/>
      <c r="D659" s="12"/>
      <c r="I659" s="11"/>
    </row>
    <row r="660">
      <c r="C660" s="12"/>
      <c r="D660" s="12"/>
      <c r="I660" s="11"/>
    </row>
    <row r="661">
      <c r="C661" s="12"/>
      <c r="D661" s="12"/>
      <c r="I661" s="11"/>
    </row>
    <row r="662">
      <c r="C662" s="12"/>
      <c r="D662" s="12"/>
      <c r="I662" s="11"/>
    </row>
    <row r="663">
      <c r="C663" s="12"/>
      <c r="D663" s="12"/>
      <c r="I663" s="11"/>
    </row>
    <row r="664">
      <c r="C664" s="12"/>
      <c r="D664" s="12"/>
      <c r="I664" s="11"/>
    </row>
    <row r="665">
      <c r="C665" s="12"/>
      <c r="D665" s="12"/>
      <c r="I665" s="11"/>
    </row>
    <row r="666">
      <c r="C666" s="12"/>
      <c r="D666" s="12"/>
      <c r="I666" s="11"/>
    </row>
    <row r="667">
      <c r="C667" s="12"/>
      <c r="D667" s="12"/>
      <c r="I667" s="11"/>
    </row>
    <row r="668">
      <c r="C668" s="12"/>
      <c r="D668" s="12"/>
      <c r="I668" s="11"/>
    </row>
    <row r="669">
      <c r="C669" s="12"/>
      <c r="D669" s="12"/>
      <c r="I669" s="11"/>
    </row>
    <row r="670">
      <c r="C670" s="12"/>
      <c r="D670" s="12"/>
      <c r="I670" s="11"/>
    </row>
    <row r="671">
      <c r="C671" s="12"/>
      <c r="D671" s="12"/>
      <c r="I671" s="11"/>
    </row>
    <row r="672">
      <c r="C672" s="12"/>
      <c r="D672" s="12"/>
      <c r="I672" s="11"/>
    </row>
    <row r="673">
      <c r="C673" s="12"/>
      <c r="D673" s="12"/>
      <c r="I673" s="11"/>
    </row>
    <row r="674">
      <c r="C674" s="12"/>
      <c r="D674" s="12"/>
      <c r="I674" s="11"/>
    </row>
    <row r="675">
      <c r="C675" s="12"/>
      <c r="D675" s="12"/>
      <c r="I675" s="11"/>
    </row>
    <row r="676">
      <c r="C676" s="12"/>
      <c r="D676" s="12"/>
      <c r="I676" s="11"/>
    </row>
    <row r="677">
      <c r="C677" s="12"/>
      <c r="D677" s="12"/>
      <c r="I677" s="11"/>
    </row>
    <row r="678">
      <c r="C678" s="12"/>
      <c r="D678" s="12"/>
      <c r="I678" s="11"/>
    </row>
    <row r="679">
      <c r="C679" s="12"/>
      <c r="D679" s="12"/>
      <c r="I679" s="11"/>
    </row>
    <row r="680">
      <c r="C680" s="12"/>
      <c r="D680" s="12"/>
      <c r="I680" s="11"/>
    </row>
    <row r="681">
      <c r="C681" s="12"/>
      <c r="D681" s="12"/>
      <c r="I681" s="11"/>
    </row>
    <row r="682">
      <c r="C682" s="12"/>
      <c r="D682" s="12"/>
      <c r="I682" s="11"/>
    </row>
    <row r="683">
      <c r="C683" s="12"/>
      <c r="D683" s="12"/>
      <c r="I683" s="11"/>
    </row>
    <row r="684">
      <c r="C684" s="12"/>
      <c r="D684" s="12"/>
      <c r="I684" s="11"/>
    </row>
    <row r="685">
      <c r="C685" s="12"/>
      <c r="D685" s="12"/>
      <c r="I685" s="11"/>
    </row>
    <row r="686">
      <c r="C686" s="12"/>
      <c r="D686" s="12"/>
      <c r="I686" s="11"/>
    </row>
    <row r="687">
      <c r="C687" s="12"/>
      <c r="D687" s="12"/>
      <c r="I687" s="11"/>
    </row>
    <row r="688">
      <c r="C688" s="12"/>
      <c r="D688" s="12"/>
      <c r="I688" s="11"/>
    </row>
    <row r="689">
      <c r="C689" s="12"/>
      <c r="D689" s="12"/>
      <c r="I689" s="11"/>
    </row>
    <row r="690">
      <c r="C690" s="12"/>
      <c r="D690" s="12"/>
      <c r="I690" s="11"/>
    </row>
    <row r="691">
      <c r="C691" s="12"/>
      <c r="D691" s="12"/>
      <c r="I691" s="11"/>
    </row>
    <row r="692">
      <c r="C692" s="12"/>
      <c r="D692" s="12"/>
      <c r="I692" s="11"/>
    </row>
    <row r="693">
      <c r="C693" s="12"/>
      <c r="D693" s="12"/>
      <c r="I693" s="11"/>
    </row>
    <row r="694">
      <c r="C694" s="12"/>
      <c r="D694" s="12"/>
      <c r="I694" s="11"/>
    </row>
    <row r="695">
      <c r="C695" s="12"/>
      <c r="D695" s="12"/>
      <c r="I695" s="11"/>
    </row>
    <row r="696">
      <c r="C696" s="12"/>
      <c r="D696" s="12"/>
      <c r="I696" s="11"/>
    </row>
    <row r="697">
      <c r="C697" s="12"/>
      <c r="D697" s="12"/>
      <c r="I697" s="11"/>
    </row>
    <row r="698">
      <c r="C698" s="12"/>
      <c r="D698" s="12"/>
      <c r="I698" s="11"/>
    </row>
    <row r="699">
      <c r="C699" s="12"/>
      <c r="D699" s="12"/>
      <c r="I699" s="11"/>
    </row>
    <row r="700">
      <c r="C700" s="12"/>
      <c r="D700" s="12"/>
      <c r="I700" s="11"/>
    </row>
    <row r="701">
      <c r="C701" s="12"/>
      <c r="D701" s="12"/>
      <c r="I701" s="11"/>
    </row>
    <row r="702">
      <c r="C702" s="12"/>
      <c r="D702" s="12"/>
      <c r="I702" s="11"/>
    </row>
    <row r="703">
      <c r="C703" s="12"/>
      <c r="D703" s="12"/>
      <c r="I703" s="11"/>
    </row>
    <row r="704">
      <c r="C704" s="12"/>
      <c r="D704" s="12"/>
      <c r="I704" s="11"/>
    </row>
    <row r="705">
      <c r="C705" s="12"/>
      <c r="D705" s="12"/>
      <c r="I705" s="11"/>
    </row>
    <row r="706">
      <c r="C706" s="12"/>
      <c r="D706" s="12"/>
      <c r="I706" s="11"/>
    </row>
    <row r="707">
      <c r="C707" s="12"/>
      <c r="D707" s="12"/>
      <c r="I707" s="11"/>
    </row>
    <row r="708">
      <c r="C708" s="12"/>
      <c r="D708" s="12"/>
      <c r="I708" s="11"/>
    </row>
    <row r="709">
      <c r="C709" s="12"/>
      <c r="D709" s="12"/>
      <c r="I709" s="11"/>
    </row>
    <row r="710">
      <c r="C710" s="12"/>
      <c r="D710" s="12"/>
      <c r="I710" s="11"/>
    </row>
    <row r="711">
      <c r="C711" s="12"/>
      <c r="D711" s="12"/>
      <c r="I711" s="11"/>
    </row>
    <row r="712">
      <c r="C712" s="12"/>
      <c r="D712" s="12"/>
      <c r="I712" s="11"/>
    </row>
    <row r="713">
      <c r="C713" s="12"/>
      <c r="D713" s="12"/>
      <c r="I713" s="11"/>
    </row>
    <row r="714">
      <c r="C714" s="12"/>
      <c r="D714" s="12"/>
      <c r="I714" s="11"/>
    </row>
    <row r="715">
      <c r="C715" s="12"/>
      <c r="D715" s="12"/>
      <c r="I715" s="11"/>
    </row>
    <row r="716">
      <c r="C716" s="12"/>
      <c r="D716" s="12"/>
      <c r="I716" s="11"/>
    </row>
    <row r="717">
      <c r="C717" s="12"/>
      <c r="D717" s="12"/>
      <c r="I717" s="11"/>
    </row>
    <row r="718">
      <c r="C718" s="12"/>
      <c r="D718" s="12"/>
      <c r="I718" s="11"/>
    </row>
    <row r="719">
      <c r="C719" s="12"/>
      <c r="D719" s="12"/>
      <c r="I719" s="11"/>
    </row>
    <row r="720">
      <c r="C720" s="12"/>
      <c r="D720" s="12"/>
      <c r="I720" s="11"/>
    </row>
    <row r="721">
      <c r="C721" s="12"/>
      <c r="D721" s="12"/>
      <c r="I721" s="11"/>
    </row>
    <row r="722">
      <c r="C722" s="12"/>
      <c r="D722" s="12"/>
      <c r="I722" s="11"/>
    </row>
    <row r="723">
      <c r="C723" s="12"/>
      <c r="D723" s="12"/>
      <c r="I723" s="11"/>
    </row>
    <row r="724">
      <c r="C724" s="12"/>
      <c r="D724" s="12"/>
      <c r="I724" s="11"/>
    </row>
    <row r="725">
      <c r="C725" s="12"/>
      <c r="D725" s="12"/>
      <c r="I725" s="11"/>
    </row>
    <row r="726">
      <c r="C726" s="12"/>
      <c r="D726" s="12"/>
      <c r="I726" s="11"/>
    </row>
    <row r="727">
      <c r="C727" s="12"/>
      <c r="D727" s="12"/>
      <c r="I727" s="11"/>
    </row>
    <row r="728">
      <c r="C728" s="12"/>
      <c r="D728" s="12"/>
      <c r="I728" s="11"/>
    </row>
    <row r="729">
      <c r="C729" s="12"/>
      <c r="D729" s="12"/>
      <c r="I729" s="11"/>
    </row>
    <row r="730">
      <c r="C730" s="12"/>
      <c r="D730" s="12"/>
      <c r="I730" s="11"/>
    </row>
    <row r="731">
      <c r="C731" s="12"/>
      <c r="D731" s="12"/>
      <c r="I731" s="11"/>
    </row>
    <row r="732">
      <c r="C732" s="12"/>
      <c r="D732" s="12"/>
      <c r="I732" s="11"/>
    </row>
    <row r="733">
      <c r="C733" s="12"/>
      <c r="D733" s="12"/>
      <c r="I733" s="11"/>
    </row>
    <row r="734">
      <c r="C734" s="12"/>
      <c r="D734" s="12"/>
      <c r="I734" s="11"/>
    </row>
    <row r="735">
      <c r="C735" s="12"/>
      <c r="D735" s="12"/>
      <c r="I735" s="11"/>
    </row>
    <row r="736">
      <c r="C736" s="12"/>
      <c r="D736" s="12"/>
      <c r="I736" s="11"/>
    </row>
    <row r="737">
      <c r="C737" s="12"/>
      <c r="D737" s="12"/>
      <c r="I737" s="11"/>
    </row>
    <row r="738">
      <c r="C738" s="12"/>
      <c r="D738" s="12"/>
      <c r="I738" s="11"/>
    </row>
    <row r="739">
      <c r="C739" s="12"/>
      <c r="D739" s="12"/>
      <c r="I739" s="11"/>
    </row>
    <row r="740">
      <c r="C740" s="12"/>
      <c r="D740" s="12"/>
      <c r="I740" s="11"/>
    </row>
    <row r="741">
      <c r="C741" s="12"/>
      <c r="D741" s="12"/>
      <c r="I741" s="11"/>
    </row>
    <row r="742">
      <c r="C742" s="12"/>
      <c r="D742" s="12"/>
      <c r="I742" s="11"/>
    </row>
    <row r="743">
      <c r="C743" s="12"/>
      <c r="D743" s="12"/>
      <c r="I743" s="11"/>
    </row>
    <row r="744">
      <c r="C744" s="12"/>
      <c r="D744" s="12"/>
      <c r="I744" s="11"/>
    </row>
    <row r="745">
      <c r="C745" s="12"/>
      <c r="D745" s="12"/>
      <c r="I745" s="11"/>
    </row>
    <row r="746">
      <c r="C746" s="12"/>
      <c r="D746" s="12"/>
      <c r="I746" s="11"/>
    </row>
    <row r="747">
      <c r="C747" s="12"/>
      <c r="D747" s="12"/>
      <c r="I747" s="11"/>
    </row>
    <row r="748">
      <c r="C748" s="12"/>
      <c r="D748" s="12"/>
      <c r="I748" s="11"/>
    </row>
    <row r="749">
      <c r="C749" s="12"/>
      <c r="D749" s="12"/>
      <c r="I749" s="11"/>
    </row>
    <row r="750">
      <c r="C750" s="12"/>
      <c r="D750" s="12"/>
      <c r="I750" s="11"/>
    </row>
    <row r="751">
      <c r="C751" s="12"/>
      <c r="D751" s="12"/>
      <c r="I751" s="11"/>
    </row>
    <row r="752">
      <c r="C752" s="12"/>
      <c r="D752" s="12"/>
      <c r="I752" s="11"/>
    </row>
    <row r="753">
      <c r="C753" s="12"/>
      <c r="D753" s="12"/>
      <c r="I753" s="11"/>
    </row>
    <row r="754">
      <c r="C754" s="12"/>
      <c r="D754" s="12"/>
      <c r="I754" s="11"/>
    </row>
    <row r="755">
      <c r="C755" s="12"/>
      <c r="D755" s="12"/>
      <c r="I755" s="11"/>
    </row>
    <row r="756">
      <c r="C756" s="12"/>
      <c r="D756" s="12"/>
      <c r="I756" s="11"/>
    </row>
    <row r="757">
      <c r="C757" s="12"/>
      <c r="D757" s="12"/>
      <c r="I757" s="11"/>
    </row>
    <row r="758">
      <c r="C758" s="12"/>
      <c r="D758" s="12"/>
      <c r="I758" s="11"/>
    </row>
    <row r="759">
      <c r="C759" s="12"/>
      <c r="D759" s="12"/>
      <c r="I759" s="11"/>
    </row>
    <row r="760">
      <c r="C760" s="12"/>
      <c r="D760" s="12"/>
      <c r="I760" s="11"/>
    </row>
    <row r="761">
      <c r="C761" s="12"/>
      <c r="D761" s="12"/>
      <c r="I761" s="11"/>
    </row>
    <row r="762">
      <c r="C762" s="12"/>
      <c r="D762" s="12"/>
      <c r="I762" s="11"/>
    </row>
    <row r="763">
      <c r="C763" s="12"/>
      <c r="D763" s="12"/>
      <c r="I763" s="11"/>
    </row>
    <row r="764">
      <c r="C764" s="12"/>
      <c r="D764" s="12"/>
      <c r="I764" s="11"/>
    </row>
    <row r="765">
      <c r="C765" s="12"/>
      <c r="D765" s="12"/>
      <c r="I765" s="11"/>
    </row>
    <row r="766">
      <c r="C766" s="12"/>
      <c r="D766" s="12"/>
      <c r="I766" s="11"/>
    </row>
    <row r="767">
      <c r="C767" s="12"/>
      <c r="D767" s="12"/>
      <c r="I767" s="11"/>
    </row>
    <row r="768">
      <c r="C768" s="12"/>
      <c r="D768" s="12"/>
      <c r="I768" s="11"/>
    </row>
    <row r="769">
      <c r="C769" s="12"/>
      <c r="D769" s="12"/>
      <c r="I769" s="11"/>
    </row>
    <row r="770">
      <c r="C770" s="12"/>
      <c r="D770" s="12"/>
      <c r="I770" s="11"/>
    </row>
    <row r="771">
      <c r="C771" s="12"/>
      <c r="D771" s="12"/>
      <c r="I771" s="11"/>
    </row>
    <row r="772">
      <c r="C772" s="12"/>
      <c r="D772" s="12"/>
      <c r="I772" s="11"/>
    </row>
    <row r="773">
      <c r="C773" s="12"/>
      <c r="D773" s="12"/>
      <c r="I773" s="11"/>
    </row>
    <row r="774">
      <c r="C774" s="12"/>
      <c r="D774" s="12"/>
      <c r="I774" s="11"/>
    </row>
    <row r="775">
      <c r="C775" s="12"/>
      <c r="D775" s="12"/>
      <c r="I775" s="11"/>
    </row>
    <row r="776">
      <c r="C776" s="12"/>
      <c r="D776" s="12"/>
      <c r="I776" s="11"/>
    </row>
    <row r="777">
      <c r="C777" s="12"/>
      <c r="D777" s="12"/>
      <c r="I777" s="11"/>
    </row>
    <row r="778">
      <c r="C778" s="12"/>
      <c r="D778" s="12"/>
      <c r="I778" s="11"/>
    </row>
    <row r="779">
      <c r="C779" s="12"/>
      <c r="D779" s="12"/>
      <c r="I779" s="11"/>
    </row>
    <row r="780">
      <c r="C780" s="12"/>
      <c r="D780" s="12"/>
      <c r="I780" s="11"/>
    </row>
    <row r="781">
      <c r="C781" s="12"/>
      <c r="D781" s="12"/>
      <c r="I781" s="11"/>
    </row>
    <row r="782">
      <c r="C782" s="12"/>
      <c r="D782" s="12"/>
      <c r="I782" s="11"/>
    </row>
    <row r="783">
      <c r="C783" s="12"/>
      <c r="D783" s="12"/>
      <c r="I783" s="11"/>
    </row>
    <row r="784">
      <c r="C784" s="12"/>
      <c r="D784" s="12"/>
      <c r="I784" s="11"/>
    </row>
    <row r="785">
      <c r="C785" s="12"/>
      <c r="D785" s="12"/>
      <c r="I785" s="11"/>
    </row>
    <row r="786">
      <c r="C786" s="12"/>
      <c r="D786" s="12"/>
      <c r="I786" s="11"/>
    </row>
    <row r="787">
      <c r="C787" s="12"/>
      <c r="D787" s="12"/>
      <c r="I787" s="11"/>
    </row>
    <row r="788">
      <c r="C788" s="12"/>
      <c r="D788" s="12"/>
      <c r="I788" s="11"/>
    </row>
    <row r="789">
      <c r="C789" s="12"/>
      <c r="D789" s="12"/>
      <c r="I789" s="11"/>
    </row>
    <row r="790">
      <c r="C790" s="12"/>
      <c r="D790" s="12"/>
      <c r="I790" s="11"/>
    </row>
    <row r="791">
      <c r="C791" s="12"/>
      <c r="D791" s="12"/>
      <c r="I791" s="11"/>
    </row>
    <row r="792">
      <c r="C792" s="12"/>
      <c r="D792" s="12"/>
      <c r="I792" s="11"/>
    </row>
    <row r="793">
      <c r="C793" s="12"/>
      <c r="D793" s="12"/>
      <c r="I793" s="11"/>
    </row>
    <row r="794">
      <c r="C794" s="12"/>
      <c r="D794" s="12"/>
      <c r="I794" s="11"/>
    </row>
    <row r="795">
      <c r="C795" s="12"/>
      <c r="D795" s="12"/>
      <c r="I795" s="11"/>
    </row>
    <row r="796">
      <c r="C796" s="12"/>
      <c r="D796" s="12"/>
      <c r="I796" s="11"/>
    </row>
    <row r="797">
      <c r="C797" s="12"/>
      <c r="D797" s="12"/>
      <c r="I797" s="11"/>
    </row>
    <row r="798">
      <c r="C798" s="12"/>
      <c r="D798" s="12"/>
      <c r="I798" s="11"/>
    </row>
    <row r="799">
      <c r="C799" s="12"/>
      <c r="D799" s="12"/>
      <c r="I799" s="11"/>
    </row>
    <row r="800">
      <c r="C800" s="12"/>
      <c r="D800" s="12"/>
      <c r="I800" s="11"/>
    </row>
    <row r="801">
      <c r="C801" s="12"/>
      <c r="D801" s="12"/>
      <c r="I801" s="11"/>
    </row>
    <row r="802">
      <c r="C802" s="12"/>
      <c r="D802" s="12"/>
      <c r="I802" s="11"/>
    </row>
    <row r="803">
      <c r="C803" s="12"/>
      <c r="D803" s="12"/>
      <c r="I803" s="11"/>
    </row>
    <row r="804">
      <c r="C804" s="12"/>
      <c r="D804" s="12"/>
      <c r="I804" s="11"/>
    </row>
    <row r="805">
      <c r="C805" s="12"/>
      <c r="D805" s="12"/>
      <c r="I805" s="11"/>
    </row>
    <row r="806">
      <c r="C806" s="12"/>
      <c r="D806" s="12"/>
      <c r="I806" s="11"/>
    </row>
    <row r="807">
      <c r="C807" s="12"/>
      <c r="D807" s="12"/>
      <c r="I807" s="11"/>
    </row>
    <row r="808">
      <c r="C808" s="12"/>
      <c r="D808" s="12"/>
      <c r="I808" s="11"/>
    </row>
    <row r="809">
      <c r="C809" s="12"/>
      <c r="D809" s="12"/>
      <c r="I809" s="11"/>
    </row>
    <row r="810">
      <c r="C810" s="12"/>
      <c r="D810" s="12"/>
      <c r="I810" s="11"/>
    </row>
    <row r="811">
      <c r="C811" s="12"/>
      <c r="D811" s="12"/>
      <c r="I811" s="11"/>
    </row>
    <row r="812">
      <c r="C812" s="12"/>
      <c r="D812" s="12"/>
      <c r="I812" s="11"/>
    </row>
    <row r="813">
      <c r="C813" s="12"/>
      <c r="D813" s="12"/>
      <c r="I813" s="11"/>
    </row>
    <row r="814">
      <c r="C814" s="12"/>
      <c r="D814" s="12"/>
      <c r="I814" s="11"/>
    </row>
    <row r="815">
      <c r="C815" s="12"/>
      <c r="D815" s="12"/>
      <c r="I815" s="11"/>
    </row>
    <row r="816">
      <c r="C816" s="12"/>
      <c r="D816" s="12"/>
      <c r="I816" s="11"/>
    </row>
    <row r="817">
      <c r="C817" s="12"/>
      <c r="D817" s="12"/>
      <c r="I817" s="11"/>
    </row>
    <row r="818">
      <c r="C818" s="12"/>
      <c r="D818" s="12"/>
      <c r="I818" s="11"/>
    </row>
    <row r="819">
      <c r="C819" s="12"/>
      <c r="D819" s="12"/>
      <c r="I819" s="11"/>
    </row>
    <row r="820">
      <c r="C820" s="12"/>
      <c r="D820" s="12"/>
      <c r="I820" s="11"/>
    </row>
    <row r="821">
      <c r="C821" s="12"/>
      <c r="D821" s="12"/>
      <c r="I821" s="11"/>
    </row>
    <row r="822">
      <c r="C822" s="12"/>
      <c r="D822" s="12"/>
      <c r="I822" s="11"/>
    </row>
    <row r="823">
      <c r="C823" s="12"/>
      <c r="D823" s="12"/>
      <c r="I823" s="11"/>
    </row>
    <row r="824">
      <c r="C824" s="12"/>
      <c r="D824" s="12"/>
      <c r="I824" s="11"/>
    </row>
    <row r="825">
      <c r="C825" s="12"/>
      <c r="D825" s="12"/>
      <c r="I825" s="11"/>
    </row>
    <row r="826">
      <c r="C826" s="12"/>
      <c r="D826" s="12"/>
      <c r="I826" s="11"/>
    </row>
    <row r="827">
      <c r="C827" s="12"/>
      <c r="D827" s="12"/>
      <c r="I827" s="11"/>
    </row>
    <row r="828">
      <c r="C828" s="12"/>
      <c r="D828" s="12"/>
      <c r="I828" s="11"/>
    </row>
    <row r="829">
      <c r="C829" s="12"/>
      <c r="D829" s="12"/>
      <c r="I829" s="11"/>
    </row>
    <row r="830">
      <c r="C830" s="12"/>
      <c r="D830" s="12"/>
      <c r="I830" s="11"/>
    </row>
    <row r="831">
      <c r="C831" s="12"/>
      <c r="D831" s="12"/>
      <c r="I831" s="11"/>
    </row>
    <row r="832">
      <c r="C832" s="12"/>
      <c r="D832" s="12"/>
      <c r="I832" s="11"/>
    </row>
    <row r="833">
      <c r="C833" s="12"/>
      <c r="D833" s="12"/>
      <c r="I833" s="11"/>
    </row>
    <row r="834">
      <c r="C834" s="12"/>
      <c r="D834" s="12"/>
      <c r="I834" s="11"/>
    </row>
    <row r="835">
      <c r="C835" s="12"/>
      <c r="D835" s="12"/>
      <c r="I835" s="11"/>
    </row>
    <row r="836">
      <c r="C836" s="12"/>
      <c r="D836" s="12"/>
      <c r="I836" s="11"/>
    </row>
    <row r="837">
      <c r="C837" s="12"/>
      <c r="D837" s="12"/>
      <c r="I837" s="11"/>
    </row>
    <row r="838">
      <c r="C838" s="12"/>
      <c r="D838" s="12"/>
      <c r="I838" s="11"/>
    </row>
    <row r="839">
      <c r="C839" s="12"/>
      <c r="D839" s="12"/>
      <c r="I839" s="11"/>
    </row>
    <row r="840">
      <c r="C840" s="12"/>
      <c r="D840" s="12"/>
      <c r="I840" s="11"/>
    </row>
    <row r="841">
      <c r="C841" s="12"/>
      <c r="D841" s="12"/>
      <c r="I841" s="11"/>
    </row>
    <row r="842">
      <c r="C842" s="12"/>
      <c r="D842" s="12"/>
      <c r="I842" s="11"/>
    </row>
    <row r="843">
      <c r="C843" s="12"/>
      <c r="D843" s="12"/>
      <c r="I843" s="11"/>
    </row>
    <row r="844">
      <c r="C844" s="12"/>
      <c r="D844" s="12"/>
      <c r="I844" s="11"/>
    </row>
    <row r="845">
      <c r="C845" s="12"/>
      <c r="D845" s="12"/>
      <c r="I845" s="11"/>
    </row>
    <row r="846">
      <c r="C846" s="12"/>
      <c r="D846" s="12"/>
      <c r="I846" s="11"/>
    </row>
    <row r="847">
      <c r="C847" s="12"/>
      <c r="D847" s="12"/>
      <c r="I847" s="11"/>
    </row>
    <row r="848">
      <c r="C848" s="12"/>
      <c r="D848" s="12"/>
      <c r="I848" s="11"/>
    </row>
    <row r="849">
      <c r="C849" s="12"/>
      <c r="D849" s="12"/>
      <c r="I849" s="11"/>
    </row>
    <row r="850">
      <c r="C850" s="12"/>
      <c r="D850" s="12"/>
      <c r="I850" s="11"/>
    </row>
    <row r="851">
      <c r="C851" s="12"/>
      <c r="D851" s="12"/>
      <c r="I851" s="11"/>
    </row>
    <row r="852">
      <c r="C852" s="12"/>
      <c r="D852" s="12"/>
      <c r="I852" s="11"/>
    </row>
    <row r="853">
      <c r="C853" s="12"/>
      <c r="D853" s="12"/>
      <c r="I853" s="11"/>
    </row>
    <row r="854">
      <c r="C854" s="12"/>
      <c r="D854" s="12"/>
      <c r="I854" s="11"/>
    </row>
    <row r="855">
      <c r="C855" s="12"/>
      <c r="D855" s="12"/>
      <c r="I855" s="11"/>
    </row>
    <row r="856">
      <c r="C856" s="12"/>
      <c r="D856" s="12"/>
      <c r="I856" s="11"/>
    </row>
    <row r="857">
      <c r="C857" s="12"/>
      <c r="D857" s="12"/>
      <c r="I857" s="11"/>
    </row>
    <row r="858">
      <c r="C858" s="12"/>
      <c r="D858" s="12"/>
      <c r="I858" s="11"/>
    </row>
    <row r="859">
      <c r="C859" s="12"/>
      <c r="D859" s="12"/>
      <c r="I859" s="11"/>
    </row>
    <row r="860">
      <c r="C860" s="12"/>
      <c r="D860" s="12"/>
      <c r="I860" s="11"/>
    </row>
    <row r="861">
      <c r="C861" s="12"/>
      <c r="D861" s="12"/>
      <c r="I861" s="11"/>
    </row>
    <row r="862">
      <c r="C862" s="12"/>
      <c r="D862" s="12"/>
      <c r="I862" s="11"/>
    </row>
    <row r="863">
      <c r="C863" s="12"/>
      <c r="D863" s="12"/>
      <c r="I863" s="11"/>
    </row>
    <row r="864">
      <c r="C864" s="12"/>
      <c r="D864" s="12"/>
      <c r="I864" s="11"/>
    </row>
    <row r="865">
      <c r="C865" s="12"/>
      <c r="D865" s="12"/>
      <c r="I865" s="11"/>
    </row>
    <row r="866">
      <c r="C866" s="12"/>
      <c r="D866" s="12"/>
      <c r="I866" s="11"/>
    </row>
    <row r="867">
      <c r="C867" s="12"/>
      <c r="D867" s="12"/>
      <c r="I867" s="11"/>
    </row>
    <row r="868">
      <c r="C868" s="12"/>
      <c r="D868" s="12"/>
      <c r="I868" s="11"/>
    </row>
    <row r="869">
      <c r="C869" s="12"/>
      <c r="D869" s="12"/>
      <c r="I869" s="11"/>
    </row>
    <row r="870">
      <c r="C870" s="12"/>
      <c r="D870" s="12"/>
      <c r="I870" s="11"/>
    </row>
    <row r="871">
      <c r="C871" s="12"/>
      <c r="D871" s="12"/>
      <c r="I871" s="11"/>
    </row>
    <row r="872">
      <c r="C872" s="12"/>
      <c r="D872" s="12"/>
      <c r="I872" s="11"/>
    </row>
    <row r="873">
      <c r="C873" s="12"/>
      <c r="D873" s="12"/>
      <c r="I873" s="11"/>
    </row>
    <row r="874">
      <c r="C874" s="12"/>
      <c r="D874" s="12"/>
      <c r="I874" s="11"/>
    </row>
    <row r="875">
      <c r="C875" s="12"/>
      <c r="D875" s="12"/>
      <c r="I875" s="11"/>
    </row>
    <row r="876">
      <c r="C876" s="12"/>
      <c r="D876" s="12"/>
      <c r="I876" s="11"/>
    </row>
    <row r="877">
      <c r="C877" s="12"/>
      <c r="D877" s="12"/>
      <c r="I877" s="11"/>
    </row>
    <row r="878">
      <c r="C878" s="12"/>
      <c r="D878" s="12"/>
      <c r="I878" s="11"/>
    </row>
    <row r="879">
      <c r="C879" s="12"/>
      <c r="D879" s="12"/>
      <c r="I879" s="11"/>
    </row>
    <row r="880">
      <c r="C880" s="12"/>
      <c r="D880" s="12"/>
      <c r="I880" s="11"/>
    </row>
    <row r="881">
      <c r="C881" s="12"/>
      <c r="D881" s="12"/>
      <c r="I881" s="11"/>
    </row>
    <row r="882">
      <c r="C882" s="12"/>
      <c r="D882" s="12"/>
      <c r="I882" s="11"/>
    </row>
    <row r="883">
      <c r="C883" s="12"/>
      <c r="D883" s="12"/>
      <c r="I883" s="11"/>
    </row>
    <row r="884">
      <c r="C884" s="12"/>
      <c r="D884" s="12"/>
      <c r="I884" s="11"/>
    </row>
    <row r="885">
      <c r="C885" s="12"/>
      <c r="D885" s="12"/>
      <c r="I885" s="11"/>
    </row>
    <row r="886">
      <c r="C886" s="12"/>
      <c r="D886" s="12"/>
      <c r="I886" s="11"/>
    </row>
    <row r="887">
      <c r="C887" s="12"/>
      <c r="D887" s="12"/>
      <c r="I887" s="11"/>
    </row>
    <row r="888">
      <c r="C888" s="12"/>
      <c r="D888" s="12"/>
      <c r="I888" s="11"/>
    </row>
    <row r="889">
      <c r="C889" s="12"/>
      <c r="D889" s="12"/>
      <c r="I889" s="11"/>
    </row>
    <row r="890">
      <c r="C890" s="12"/>
      <c r="D890" s="12"/>
      <c r="I890" s="11"/>
    </row>
    <row r="891">
      <c r="C891" s="12"/>
      <c r="D891" s="12"/>
      <c r="I891" s="11"/>
    </row>
    <row r="892">
      <c r="C892" s="12"/>
      <c r="D892" s="12"/>
      <c r="I892" s="11"/>
    </row>
    <row r="893">
      <c r="C893" s="12"/>
      <c r="D893" s="12"/>
      <c r="I893" s="11"/>
    </row>
    <row r="894">
      <c r="C894" s="12"/>
      <c r="D894" s="12"/>
      <c r="I894" s="11"/>
    </row>
    <row r="895">
      <c r="C895" s="12"/>
      <c r="D895" s="12"/>
      <c r="I895" s="11"/>
    </row>
    <row r="896">
      <c r="C896" s="12"/>
      <c r="D896" s="12"/>
      <c r="I896" s="11"/>
    </row>
    <row r="897">
      <c r="C897" s="12"/>
      <c r="D897" s="12"/>
      <c r="I897" s="11"/>
    </row>
    <row r="898">
      <c r="C898" s="12"/>
      <c r="D898" s="12"/>
      <c r="I898" s="11"/>
    </row>
    <row r="899">
      <c r="C899" s="12"/>
      <c r="D899" s="12"/>
      <c r="I899" s="11"/>
    </row>
    <row r="900">
      <c r="C900" s="12"/>
      <c r="D900" s="12"/>
      <c r="I900" s="11"/>
    </row>
    <row r="901">
      <c r="C901" s="12"/>
      <c r="D901" s="12"/>
      <c r="I901" s="11"/>
    </row>
    <row r="902">
      <c r="C902" s="12"/>
      <c r="D902" s="12"/>
      <c r="I902" s="11"/>
    </row>
    <row r="903">
      <c r="C903" s="12"/>
      <c r="D903" s="12"/>
      <c r="I903" s="11"/>
    </row>
    <row r="904">
      <c r="C904" s="12"/>
      <c r="D904" s="12"/>
      <c r="I904" s="11"/>
    </row>
    <row r="905">
      <c r="C905" s="12"/>
      <c r="D905" s="12"/>
      <c r="I905" s="11"/>
    </row>
    <row r="906">
      <c r="C906" s="12"/>
      <c r="D906" s="12"/>
      <c r="I906" s="11"/>
    </row>
    <row r="907">
      <c r="C907" s="12"/>
      <c r="D907" s="12"/>
      <c r="I907" s="11"/>
    </row>
    <row r="908">
      <c r="C908" s="12"/>
      <c r="D908" s="12"/>
      <c r="I908" s="11"/>
    </row>
    <row r="909">
      <c r="C909" s="12"/>
      <c r="D909" s="12"/>
      <c r="I909" s="11"/>
    </row>
    <row r="910">
      <c r="C910" s="12"/>
      <c r="D910" s="12"/>
      <c r="I910" s="11"/>
    </row>
    <row r="911">
      <c r="C911" s="12"/>
      <c r="D911" s="12"/>
      <c r="I911" s="11"/>
    </row>
    <row r="912">
      <c r="C912" s="12"/>
      <c r="D912" s="12"/>
      <c r="I912" s="11"/>
    </row>
    <row r="913">
      <c r="C913" s="12"/>
      <c r="D913" s="12"/>
      <c r="I913" s="11"/>
    </row>
    <row r="914">
      <c r="C914" s="12"/>
      <c r="D914" s="12"/>
      <c r="I914" s="11"/>
    </row>
    <row r="915">
      <c r="C915" s="12"/>
      <c r="D915" s="12"/>
      <c r="I915" s="11"/>
    </row>
    <row r="916">
      <c r="C916" s="12"/>
      <c r="D916" s="12"/>
      <c r="I916" s="11"/>
    </row>
    <row r="917">
      <c r="C917" s="12"/>
      <c r="D917" s="12"/>
      <c r="I917" s="11"/>
    </row>
    <row r="918">
      <c r="C918" s="12"/>
      <c r="D918" s="12"/>
      <c r="I918" s="11"/>
    </row>
    <row r="919">
      <c r="C919" s="12"/>
      <c r="D919" s="12"/>
      <c r="I919" s="11"/>
    </row>
    <row r="920">
      <c r="C920" s="12"/>
      <c r="D920" s="12"/>
      <c r="I920" s="11"/>
    </row>
    <row r="921">
      <c r="C921" s="12"/>
      <c r="D921" s="12"/>
      <c r="I921" s="11"/>
    </row>
    <row r="922">
      <c r="C922" s="12"/>
      <c r="D922" s="12"/>
      <c r="I922" s="11"/>
    </row>
    <row r="923">
      <c r="C923" s="12"/>
      <c r="D923" s="12"/>
      <c r="I923" s="11"/>
    </row>
    <row r="924">
      <c r="C924" s="12"/>
      <c r="D924" s="12"/>
      <c r="I924" s="11"/>
    </row>
    <row r="925">
      <c r="C925" s="12"/>
      <c r="D925" s="12"/>
      <c r="I925" s="11"/>
    </row>
    <row r="926">
      <c r="C926" s="12"/>
      <c r="D926" s="12"/>
      <c r="I926" s="11"/>
    </row>
    <row r="927">
      <c r="C927" s="12"/>
      <c r="D927" s="12"/>
      <c r="I927" s="11"/>
    </row>
    <row r="928">
      <c r="C928" s="12"/>
      <c r="D928" s="12"/>
      <c r="I928" s="11"/>
    </row>
    <row r="929">
      <c r="C929" s="12"/>
      <c r="D929" s="12"/>
      <c r="I929" s="11"/>
    </row>
    <row r="930">
      <c r="C930" s="12"/>
      <c r="D930" s="12"/>
      <c r="I930" s="11"/>
    </row>
    <row r="931">
      <c r="C931" s="12"/>
      <c r="D931" s="12"/>
      <c r="I931" s="11"/>
    </row>
    <row r="932">
      <c r="C932" s="12"/>
      <c r="D932" s="12"/>
      <c r="I932" s="11"/>
    </row>
    <row r="933">
      <c r="C933" s="12"/>
      <c r="D933" s="12"/>
      <c r="I933" s="11"/>
    </row>
    <row r="934">
      <c r="C934" s="12"/>
      <c r="D934" s="12"/>
      <c r="I934" s="11"/>
    </row>
    <row r="935">
      <c r="C935" s="12"/>
      <c r="D935" s="12"/>
      <c r="I935" s="11"/>
    </row>
    <row r="936">
      <c r="C936" s="12"/>
      <c r="D936" s="12"/>
      <c r="I936" s="11"/>
    </row>
    <row r="937">
      <c r="C937" s="12"/>
      <c r="D937" s="12"/>
      <c r="I937" s="11"/>
    </row>
    <row r="938">
      <c r="C938" s="12"/>
      <c r="D938" s="12"/>
      <c r="I938" s="11"/>
    </row>
    <row r="939">
      <c r="C939" s="12"/>
      <c r="D939" s="12"/>
      <c r="I939" s="11"/>
    </row>
    <row r="940">
      <c r="C940" s="12"/>
      <c r="D940" s="12"/>
      <c r="I940" s="11"/>
    </row>
    <row r="941">
      <c r="C941" s="12"/>
      <c r="D941" s="12"/>
      <c r="I941" s="11"/>
    </row>
    <row r="942">
      <c r="C942" s="12"/>
      <c r="D942" s="12"/>
      <c r="I942" s="11"/>
    </row>
    <row r="943">
      <c r="C943" s="12"/>
      <c r="D943" s="12"/>
      <c r="I943" s="11"/>
    </row>
    <row r="944">
      <c r="C944" s="12"/>
      <c r="D944" s="12"/>
      <c r="I944" s="11"/>
    </row>
    <row r="945">
      <c r="C945" s="12"/>
      <c r="D945" s="12"/>
      <c r="I945" s="11"/>
    </row>
    <row r="946">
      <c r="C946" s="12"/>
      <c r="D946" s="12"/>
      <c r="I946" s="11"/>
    </row>
    <row r="947">
      <c r="C947" s="12"/>
      <c r="D947" s="12"/>
      <c r="I947" s="11"/>
    </row>
    <row r="948">
      <c r="C948" s="12"/>
      <c r="D948" s="12"/>
      <c r="I948" s="11"/>
    </row>
    <row r="949">
      <c r="C949" s="12"/>
      <c r="D949" s="12"/>
      <c r="I949" s="11"/>
    </row>
    <row r="950">
      <c r="C950" s="12"/>
      <c r="D950" s="12"/>
      <c r="I950" s="11"/>
    </row>
    <row r="951">
      <c r="C951" s="12"/>
      <c r="D951" s="12"/>
      <c r="I951" s="11"/>
    </row>
    <row r="952">
      <c r="C952" s="12"/>
      <c r="D952" s="12"/>
      <c r="I952" s="11"/>
    </row>
    <row r="953">
      <c r="C953" s="12"/>
      <c r="D953" s="12"/>
      <c r="I953" s="11"/>
    </row>
    <row r="954">
      <c r="C954" s="12"/>
      <c r="D954" s="12"/>
      <c r="I954" s="11"/>
    </row>
    <row r="955">
      <c r="C955" s="12"/>
      <c r="D955" s="12"/>
      <c r="I955" s="11"/>
    </row>
    <row r="956">
      <c r="C956" s="12"/>
      <c r="D956" s="12"/>
      <c r="I956" s="11"/>
    </row>
    <row r="957">
      <c r="C957" s="12"/>
      <c r="D957" s="12"/>
      <c r="I957" s="11"/>
    </row>
    <row r="958">
      <c r="C958" s="12"/>
      <c r="D958" s="12"/>
      <c r="I958" s="11"/>
    </row>
    <row r="959">
      <c r="C959" s="12"/>
      <c r="D959" s="12"/>
      <c r="I959" s="11"/>
    </row>
    <row r="960">
      <c r="C960" s="12"/>
      <c r="D960" s="12"/>
      <c r="I960" s="11"/>
    </row>
    <row r="961">
      <c r="C961" s="12"/>
      <c r="D961" s="12"/>
      <c r="I961" s="11"/>
    </row>
    <row r="962">
      <c r="C962" s="12"/>
      <c r="D962" s="12"/>
      <c r="I962" s="11"/>
    </row>
    <row r="963">
      <c r="C963" s="12"/>
      <c r="D963" s="12"/>
      <c r="I963" s="11"/>
    </row>
    <row r="964">
      <c r="C964" s="12"/>
      <c r="D964" s="12"/>
      <c r="I964" s="11"/>
    </row>
    <row r="965">
      <c r="C965" s="12"/>
      <c r="D965" s="12"/>
      <c r="I965" s="11"/>
    </row>
    <row r="966">
      <c r="C966" s="12"/>
      <c r="D966" s="12"/>
      <c r="I966" s="11"/>
    </row>
    <row r="967">
      <c r="C967" s="12"/>
      <c r="D967" s="12"/>
      <c r="I967" s="11"/>
    </row>
    <row r="968">
      <c r="C968" s="12"/>
      <c r="D968" s="12"/>
      <c r="I968" s="11"/>
    </row>
    <row r="969">
      <c r="C969" s="12"/>
      <c r="D969" s="12"/>
      <c r="I969" s="11"/>
    </row>
    <row r="970">
      <c r="C970" s="12"/>
      <c r="D970" s="12"/>
      <c r="I970" s="11"/>
    </row>
    <row r="971">
      <c r="C971" s="12"/>
      <c r="D971" s="12"/>
      <c r="I971" s="11"/>
    </row>
    <row r="972">
      <c r="C972" s="12"/>
      <c r="D972" s="12"/>
      <c r="I972" s="11"/>
    </row>
    <row r="973">
      <c r="C973" s="12"/>
      <c r="D973" s="12"/>
      <c r="I973" s="11"/>
    </row>
    <row r="974">
      <c r="C974" s="12"/>
      <c r="D974" s="12"/>
      <c r="I974" s="11"/>
    </row>
    <row r="975">
      <c r="C975" s="12"/>
      <c r="D975" s="12"/>
      <c r="I975" s="11"/>
    </row>
    <row r="976">
      <c r="C976" s="12"/>
      <c r="D976" s="12"/>
      <c r="I976" s="11"/>
    </row>
    <row r="977">
      <c r="C977" s="12"/>
      <c r="D977" s="12"/>
      <c r="I977" s="11"/>
    </row>
    <row r="978">
      <c r="C978" s="12"/>
      <c r="D978" s="12"/>
      <c r="I978" s="11"/>
    </row>
    <row r="979">
      <c r="C979" s="12"/>
      <c r="D979" s="12"/>
      <c r="I979" s="11"/>
    </row>
    <row r="980">
      <c r="C980" s="12"/>
      <c r="D980" s="12"/>
      <c r="I980" s="11"/>
    </row>
    <row r="981">
      <c r="C981" s="12"/>
      <c r="D981" s="12"/>
      <c r="I981" s="11"/>
    </row>
    <row r="982">
      <c r="C982" s="12"/>
      <c r="D982" s="12"/>
      <c r="I982" s="11"/>
    </row>
    <row r="983">
      <c r="C983" s="12"/>
      <c r="D983" s="12"/>
      <c r="I983" s="11"/>
    </row>
    <row r="984">
      <c r="C984" s="12"/>
      <c r="D984" s="12"/>
      <c r="I984" s="11"/>
    </row>
    <row r="985">
      <c r="C985" s="12"/>
      <c r="D985" s="12"/>
      <c r="I985" s="11"/>
    </row>
    <row r="986">
      <c r="C986" s="12"/>
      <c r="D986" s="12"/>
      <c r="I986" s="11"/>
    </row>
    <row r="987">
      <c r="C987" s="12"/>
      <c r="D987" s="12"/>
      <c r="I987" s="11"/>
    </row>
    <row r="988">
      <c r="C988" s="12"/>
      <c r="D988" s="12"/>
      <c r="I988" s="11"/>
    </row>
    <row r="989">
      <c r="C989" s="12"/>
      <c r="D989" s="12"/>
      <c r="I989" s="11"/>
    </row>
    <row r="990">
      <c r="C990" s="12"/>
      <c r="D990" s="12"/>
      <c r="I990" s="11"/>
    </row>
    <row r="991">
      <c r="C991" s="12"/>
      <c r="D991" s="12"/>
      <c r="I991" s="11"/>
    </row>
    <row r="992">
      <c r="C992" s="12"/>
      <c r="D992" s="12"/>
      <c r="I992" s="11"/>
    </row>
    <row r="993">
      <c r="C993" s="12"/>
      <c r="D993" s="12"/>
      <c r="I993" s="11"/>
    </row>
    <row r="994">
      <c r="C994" s="12"/>
      <c r="D994" s="12"/>
      <c r="I994" s="11"/>
    </row>
    <row r="995">
      <c r="C995" s="12"/>
      <c r="D995" s="12"/>
      <c r="I995" s="11"/>
    </row>
    <row r="996">
      <c r="C996" s="12"/>
      <c r="D996" s="12"/>
      <c r="I996" s="11"/>
    </row>
    <row r="997">
      <c r="C997" s="12"/>
      <c r="D997" s="12"/>
      <c r="I997" s="11"/>
    </row>
    <row r="998">
      <c r="C998" s="12"/>
      <c r="D998" s="12"/>
      <c r="I998" s="11"/>
    </row>
    <row r="999">
      <c r="C999" s="12"/>
      <c r="D999" s="12"/>
      <c r="I999" s="11"/>
    </row>
    <row r="1000">
      <c r="C1000" s="12"/>
      <c r="D1000" s="12"/>
      <c r="I1000" s="11"/>
    </row>
  </sheetData>
  <customSheetViews>
    <customSheetView guid="{48FD242B-06D9-4730-ACB1-241563CC49C9}" filter="1" showAutoFilter="1">
      <autoFilter ref="$A$1:$L$501">
        <filterColumn colId="8">
          <filters>
            <filter val="TRUE"/>
          </filters>
        </filterColumn>
        <sortState ref="A1:L501">
          <sortCondition ref="E1:E501"/>
        </sortState>
      </autoFilter>
    </customSheetView>
    <customSheetView guid="{AA992EE7-C5D5-431D-AC3D-87E464E288A2}" filter="1" showAutoFilter="1">
      <autoFilter ref="$A$1:$L$501">
        <filterColumn colId="8">
          <filters>
            <filter val="TRUE"/>
          </filters>
        </filterColumn>
      </autoFilter>
    </customSheetView>
    <customSheetView guid="{BF8BA9F1-0047-4844-BCB5-A34DC191F4E0}" filter="1" showAutoFilter="1">
      <autoFilter ref="$A$1:$L$501">
        <filterColumn colId="7">
          <colorFilter dxfId="11"/>
        </filterColumn>
        <filterColumn colId="8">
          <filters>
            <filter val="TRUE"/>
          </filters>
        </filterColumn>
      </autoFilter>
    </customSheetView>
    <customSheetView guid="{CE345912-A987-4F82-9CF8-455DBA1BD40E}" filter="1" showAutoFilter="1">
      <autoFilter ref="$A$1:$L$501">
        <filterColumn colId="8">
          <filters>
            <filter val="TRUE"/>
          </filters>
        </filterColumn>
        <sortState ref="A1:L501">
          <sortCondition ref="H1:H501"/>
        </sortState>
      </autoFilter>
    </customSheetView>
  </customSheetViews>
  <conditionalFormatting sqref="H1:H1000">
    <cfRule type="expression" dxfId="0" priority="1">
      <formula>AND(ISNUMBER(H1),TRUNC(H1)&lt;TODAY())</formula>
    </cfRule>
  </conditionalFormatting>
  <conditionalFormatting sqref="H1:H1000">
    <cfRule type="timePeriod" dxfId="1" priority="2" timePeriod="today"/>
  </conditionalFormatting>
  <conditionalFormatting sqref="H1:H1000">
    <cfRule type="timePeriod" dxfId="1" priority="3" timePeriod="tomorrow"/>
  </conditionalFormatting>
  <conditionalFormatting sqref="H1:H1000">
    <cfRule type="expression" dxfId="2" priority="10">
      <formula>AND(ISNUMBER(H1),TRUNC(H1)&gt;TODAY())</formula>
    </cfRule>
  </conditionalFormatting>
  <dataValidations>
    <dataValidation type="list" allowBlank="1" sqref="D2:D501">
      <formula1>"Verde,Viola,Rosso,Blu,Giallo,Nero"</formula1>
    </dataValidation>
    <dataValidation type="list" allowBlank="1" showErrorMessage="1" sqref="B2:B501">
      <formula1>"Smile,Bianco,Giallo,Blu,Verde,Rosso"</formula1>
    </dataValidation>
    <dataValidation type="list" allowBlank="1" sqref="J2:J501">
      <formula1>"T20,T25"</formula1>
    </dataValidation>
    <dataValidation type="custom" allowBlank="1" showDropDown="1" sqref="G2:G501 K2:K501">
      <formula1>OR(NOT(ISERROR(DATEVALUE(G2))), AND(ISNUMBER(G2), LEFT(CELL("format", G2))="D"))</formula1>
    </dataValidation>
    <dataValidation type="custom" allowBlank="1" showDropDown="1" sqref="A2:A501 C2:C501">
      <formula1>AND(ISNUMBER(A2),(NOT(OR(NOT(ISERROR(DATEVALUE(A2))), AND(ISNUMBER(A2), LEFT(CELL("format", A2))="D")))))</formula1>
    </dataValidation>
    <dataValidation type="list" allowBlank="1" sqref="E2:E501">
      <formula1>"New strapiombo,New verticale,New placca,sx legg. strapiombo,sx big strapiombo,verticale,dx prua,dx verticale,dx placca"</formula1>
    </dataValidation>
    <dataValidation type="list" allowBlank="1" sqref="F2:F501">
      <formula1>"Andrea,Giulio,Dani,Leonardo M,Nathan,Leo A"</formula1>
    </dataValidation>
  </dataValidations>
  <drawing r:id="rId1"/>
  <tableParts count="1">
    <tablePart r:id="rId3"/>
  </tableParts>
</worksheet>
</file>